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&amp; Features" sheetId="1" state="visible" r:id="rId3"/>
    <sheet name="Unit Economics" sheetId="2" state="visible" r:id="rId4"/>
    <sheet name="24-Month Projections" sheetId="3" state="visible" r:id="rId5"/>
    <sheet name="Implementation Spe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<sst xmlns="http://schemas.openxmlformats.org/spreadsheetml/2006/main" count="625" uniqueCount="409">
  <si>
    <t xml:space="preserve">CLEAR PATH — PRICING MODEL &amp; FEATURE MATRIX</t>
  </si>
  <si>
    <t xml:space="preserve">Financial model for paywall implementation and user type requirements</t>
  </si>
  <si>
    <t xml:space="preserve">Blue = editable inputs  |  Black = formulas  |  Yellow highlight = key assumptions</t>
  </si>
  <si>
    <t xml:space="preserve">CONSUMER TIERS</t>
  </si>
  <si>
    <t xml:space="preserve">Feature / Attribute</t>
  </si>
  <si>
    <t xml:space="preserve">Free (Trail)</t>
  </si>
  <si>
    <t xml:space="preserve">Pass ($39)</t>
  </si>
  <si>
    <t xml:space="preserve">Summit ($79)</t>
  </si>
  <si>
    <t xml:space="preserve">PRICING</t>
  </si>
  <si>
    <t xml:space="preserve">Price</t>
  </si>
  <si>
    <t xml:space="preserve">$0</t>
  </si>
  <si>
    <t xml:space="preserve">$39 one-time</t>
  </si>
  <si>
    <t xml:space="preserve">$79 one-time</t>
  </si>
  <si>
    <t xml:space="preserve">Billing Model</t>
  </si>
  <si>
    <t xml:space="preserve">Free</t>
  </si>
  <si>
    <t xml:space="preserve">One-time</t>
  </si>
  <si>
    <t xml:space="preserve">user_type identifier</t>
  </si>
  <si>
    <t xml:space="preserve">consumer_free</t>
  </si>
  <si>
    <t xml:space="preserve">consumer_pass</t>
  </si>
  <si>
    <t xml:space="preserve">consumer_summit</t>
  </si>
  <si>
    <t xml:space="preserve">DOCUMENT MANAGEMENT</t>
  </si>
  <si>
    <t xml:space="preserve">Document uploads</t>
  </si>
  <si>
    <t xml:space="preserve">3 max</t>
  </si>
  <si>
    <t xml:space="preserve">Unlimited</t>
  </si>
  <si>
    <t xml:space="preserve">Document checklist</t>
  </si>
  <si>
    <t xml:space="preserve">✓</t>
  </si>
  <si>
    <t xml:space="preserve">Document status tracking</t>
  </si>
  <si>
    <t xml:space="preserve">Basic</t>
  </si>
  <si>
    <t xml:space="preserve">Full</t>
  </si>
  <si>
    <t xml:space="preserve">Secure encrypted storage</t>
  </si>
  <si>
    <t xml:space="preserve">✗</t>
  </si>
  <si>
    <t xml:space="preserve">✓ AES-256</t>
  </si>
  <si>
    <t xml:space="preserve">AI document review</t>
  </si>
  <si>
    <t xml:space="preserve">✓ Priority</t>
  </si>
  <si>
    <t xml:space="preserve">Document concierge (AI guidance)</t>
  </si>
  <si>
    <t xml:space="preserve">SHARING &amp; COLLABORATION</t>
  </si>
  <si>
    <t xml:space="preserve">Share documents with professionals</t>
  </si>
  <si>
    <t xml:space="preserve">Receive shared docs from professionals</t>
  </si>
  <si>
    <t xml:space="preserve">Share link generation</t>
  </si>
  <si>
    <t xml:space="preserve">Multi-party sharing (agent + lender)</t>
  </si>
  <si>
    <t xml:space="preserve">JOURNEY TRACKING</t>
  </si>
  <si>
    <t xml:space="preserve">Trail progress visualization</t>
  </si>
  <si>
    <t xml:space="preserve">Basic (3 steps)</t>
  </si>
  <si>
    <t xml:space="preserve">Full trail</t>
  </si>
  <si>
    <t xml:space="preserve">Timeline estimator</t>
  </si>
  <si>
    <t xml:space="preserve">Closing cost estimator</t>
  </si>
  <si>
    <t xml:space="preserve">Milestone notifications</t>
  </si>
  <si>
    <t xml:space="preserve">EXPERIENCE</t>
  </si>
  <si>
    <t xml:space="preserve">Terrain pattern backgrounds</t>
  </si>
  <si>
    <t xml:space="preserve">Dark mode</t>
  </si>
  <si>
    <t xml:space="preserve">Priority support</t>
  </si>
  <si>
    <t xml:space="preserve">Journey duration</t>
  </si>
  <si>
    <t xml:space="preserve">12 months</t>
  </si>
  <si>
    <t xml:space="preserve">18 months</t>
  </si>
  <si>
    <t xml:space="preserve">PROFESSIONAL TIERS</t>
  </si>
  <si>
    <t xml:space="preserve">Solo ($59/mo)</t>
  </si>
  <si>
    <t xml:space="preserve">Team ($199/mo)</t>
  </si>
  <si>
    <t xml:space="preserve">Enterprise ($799/mo)</t>
  </si>
  <si>
    <t xml:space="preserve">Monthly price</t>
  </si>
  <si>
    <t xml:space="preserve">$59/mo</t>
  </si>
  <si>
    <t xml:space="preserve">$199/mo</t>
  </si>
  <si>
    <t xml:space="preserve">$799/mo</t>
  </si>
  <si>
    <t xml:space="preserve">Annual price (2 months free)</t>
  </si>
  <si>
    <t xml:space="preserve">$590/yr</t>
  </si>
  <si>
    <t xml:space="preserve">$1,990/yr</t>
  </si>
  <si>
    <t xml:space="preserve">$7,990/yr</t>
  </si>
  <si>
    <t xml:space="preserve">Monthly or Annual</t>
  </si>
  <si>
    <t xml:space="preserve">Annual only</t>
  </si>
  <si>
    <t xml:space="preserve">pro_solo</t>
  </si>
  <si>
    <t xml:space="preserve">pro_team</t>
  </si>
  <si>
    <t xml:space="preserve">pro_enterprise</t>
  </si>
  <si>
    <t xml:space="preserve">SEATS &amp; CLIENTS</t>
  </si>
  <si>
    <t xml:space="preserve">Professional seats</t>
  </si>
  <si>
    <t xml:space="preserve">1</t>
  </si>
  <si>
    <t xml:space="preserve">5</t>
  </si>
  <si>
    <t xml:space="preserve">Active client journeys</t>
  </si>
  <si>
    <t xml:space="preserve">15</t>
  </si>
  <si>
    <t xml:space="preserve">50</t>
  </si>
  <si>
    <t xml:space="preserve">Client gets full Pass experience</t>
  </si>
  <si>
    <t xml:space="preserve">✓ Included</t>
  </si>
  <si>
    <t xml:space="preserve">CLIENT MANAGEMENT</t>
  </si>
  <si>
    <t xml:space="preserve">Client dashboard</t>
  </si>
  <si>
    <t xml:space="preserve">Invite clients to Clear Path</t>
  </si>
  <si>
    <t xml:space="preserve">Track all client document status</t>
  </si>
  <si>
    <t xml:space="preserve">Client journey overview</t>
  </si>
  <si>
    <t xml:space="preserve">Team client visibility</t>
  </si>
  <si>
    <t xml:space="preserve">Role-based access (admin/associate)</t>
  </si>
  <si>
    <t xml:space="preserve">BRANDING &amp; INTEGRATION</t>
  </si>
  <si>
    <t xml:space="preserve">Co-branding on client experience</t>
  </si>
  <si>
    <t xml:space="preserve">Custom branding / white-label</t>
  </si>
  <si>
    <t xml:space="preserve">API access</t>
  </si>
  <si>
    <t xml:space="preserve">CRM / LOS integration</t>
  </si>
  <si>
    <t xml:space="preserve">ANALYTICS &amp; COMPLIANCE</t>
  </si>
  <si>
    <t xml:space="preserve">Basic analytics</t>
  </si>
  <si>
    <t xml:space="preserve">Team analytics</t>
  </si>
  <si>
    <t xml:space="preserve">Compliance reporting</t>
  </si>
  <si>
    <t xml:space="preserve">Audit trail</t>
  </si>
  <si>
    <t xml:space="preserve">SLA support</t>
  </si>
  <si>
    <t xml:space="preserve">TARGET USERS</t>
  </si>
  <si>
    <t xml:space="preserve">Individual realtors</t>
  </si>
  <si>
    <t xml:space="preserve">Individual loan officers</t>
  </si>
  <si>
    <t xml:space="preserve">Financial planners</t>
  </si>
  <si>
    <t xml:space="preserve">Small brokerages (2-10 agents)</t>
  </si>
  <si>
    <t xml:space="preserve">Lending teams</t>
  </si>
  <si>
    <t xml:space="preserve">Large brokerages (10+)</t>
  </si>
  <si>
    <t xml:space="preserve">Mortgage companies</t>
  </si>
  <si>
    <t xml:space="preserve">Enterprise financial services</t>
  </si>
  <si>
    <t xml:space="preserve">ADD-ON REVENUE</t>
  </si>
  <si>
    <t xml:space="preserve">Add-On</t>
  </si>
  <si>
    <t xml:space="preserve">Available To</t>
  </si>
  <si>
    <t xml:space="preserve">Margin Note</t>
  </si>
  <si>
    <t xml:space="preserve">Document Verification (per doc)</t>
  </si>
  <si>
    <t xml:space="preserve">$7/doc</t>
  </si>
  <si>
    <t xml:space="preserve">All paid tiers</t>
  </si>
  <si>
    <t xml:space="preserve">AI processing cost ~$0.50/doc</t>
  </si>
  <si>
    <t xml:space="preserve">API Access (standalone)</t>
  </si>
  <si>
    <t xml:space="preserve">$299/mo</t>
  </si>
  <si>
    <t xml:space="preserve">Enterprise only</t>
  </si>
  <si>
    <t xml:space="preserve">Near-zero marginal cost</t>
  </si>
  <si>
    <t xml:space="preserve">Referral Marketplace (per lead)</t>
  </si>
  <si>
    <t xml:space="preserve">$75-150/lead</t>
  </si>
  <si>
    <t xml:space="preserve">Consumers (free + paid)</t>
  </si>
  <si>
    <t xml:space="preserve">Revenue share with partners</t>
  </si>
  <si>
    <t xml:space="preserve">Additional client seats (pro)</t>
  </si>
  <si>
    <t xml:space="preserve">$15/seat/mo</t>
  </si>
  <si>
    <t xml:space="preserve">Solo &amp; Team tiers</t>
  </si>
  <si>
    <t xml:space="preserve">Infrastructure cost ~$3/seat</t>
  </si>
  <si>
    <t xml:space="preserve">Extended journey (consumer)</t>
  </si>
  <si>
    <t xml:space="preserve">$19 per 6mo extension</t>
  </si>
  <si>
    <t xml:space="preserve">Pass &amp; Summit</t>
  </si>
  <si>
    <t xml:space="preserve">Minimal incremental cost</t>
  </si>
  <si>
    <t xml:space="preserve">CLEAR PATH — UNIT ECONOMICS</t>
  </si>
  <si>
    <t xml:space="preserve">Per-user cost structure and margin analysis by tier</t>
  </si>
  <si>
    <t xml:space="preserve">MONTHLY INFRASTRUCTURE COSTS PER USER</t>
  </si>
  <si>
    <t xml:space="preserve">Cost Component</t>
  </si>
  <si>
    <t xml:space="preserve">Free User</t>
  </si>
  <si>
    <t xml:space="preserve">Pass User</t>
  </si>
  <si>
    <t xml:space="preserve">Summit User</t>
  </si>
  <si>
    <t xml:space="preserve">Pro Solo</t>
  </si>
  <si>
    <t xml:space="preserve">Pro Team (per seat)</t>
  </si>
  <si>
    <t xml:space="preserve">Notes</t>
  </si>
  <si>
    <t xml:space="preserve">Cloud storage (S3/equivalent)</t>
  </si>
  <si>
    <t xml:space="preserve">Encrypted doc storage</t>
  </si>
  <si>
    <t xml:space="preserve">AI processing (Claude API)</t>
  </si>
  <si>
    <t xml:space="preserve">Doc review, concierge, guidance</t>
  </si>
  <si>
    <t xml:space="preserve">Compute (servers/functions)</t>
  </si>
  <si>
    <t xml:space="preserve">API, background jobs</t>
  </si>
  <si>
    <t xml:space="preserve">Database (Postgres/equivalent)</t>
  </si>
  <si>
    <t xml:space="preserve">User data, doc metadata</t>
  </si>
  <si>
    <t xml:space="preserve">Email/notifications</t>
  </si>
  <si>
    <t xml:space="preserve">Transactional email, push</t>
  </si>
  <si>
    <t xml:space="preserve">Encryption overhead</t>
  </si>
  <si>
    <t xml:space="preserve">AES-256 key management</t>
  </si>
  <si>
    <t xml:space="preserve">CDN / bandwidth</t>
  </si>
  <si>
    <t xml:space="preserve">Document downloads, terrain assets</t>
  </si>
  <si>
    <t xml:space="preserve">Auth / identity</t>
  </si>
  <si>
    <t xml:space="preserve">Auth0 or equivalent</t>
  </si>
  <si>
    <t xml:space="preserve">Monitoring / logging</t>
  </si>
  <si>
    <t xml:space="preserve">Datadog, Sentry equivalent</t>
  </si>
  <si>
    <t xml:space="preserve">TOTAL MONTHLY COST PER USER</t>
  </si>
  <si>
    <t xml:space="preserve">REVENUE &amp; MARGIN PER USER</t>
  </si>
  <si>
    <t xml:space="preserve">Metric</t>
  </si>
  <si>
    <t xml:space="preserve">Team = $199/5 seats</t>
  </si>
  <si>
    <t xml:space="preserve">Billing period</t>
  </si>
  <si>
    <t xml:space="preserve">N/A</t>
  </si>
  <si>
    <t xml:space="preserve">Monthly</t>
  </si>
  <si>
    <t xml:space="preserve">Avg journey duration (months)</t>
  </si>
  <si>
    <t xml:space="preserve">How long user stays active</t>
  </si>
  <si>
    <t xml:space="preserve">Effective monthly revenue</t>
  </si>
  <si>
    <t xml:space="preserve">Monthly infrastructure cost</t>
  </si>
  <si>
    <t xml:space="preserve">Monthly gross profit per user</t>
  </si>
  <si>
    <t xml:space="preserve">GROSS MARGIN</t>
  </si>
  <si>
    <t xml:space="preserve">Lifetime revenue per user</t>
  </si>
  <si>
    <t xml:space="preserve">Lifetime cost per user</t>
  </si>
  <si>
    <t xml:space="preserve">LIFETIME GROSS PROFIT</t>
  </si>
  <si>
    <t xml:space="preserve">Target gross margin: 85%</t>
  </si>
  <si>
    <t xml:space="preserve">CLEAR PATH — 24-MONTH REVENUE PROJECTIONS</t>
  </si>
  <si>
    <t xml:space="preserve">Monthly user acquisition and revenue growth model</t>
  </si>
  <si>
    <t xml:space="preserve">GROWTH ASSUMPTIONS</t>
  </si>
  <si>
    <t xml:space="preserve">Consumer free signups / month (initial)</t>
  </si>
  <si>
    <t xml:space="preserve">Consumer free monthly growth rate</t>
  </si>
  <si>
    <t xml:space="preserve">12% MoM</t>
  </si>
  <si>
    <t xml:space="preserve">Free → Pass conversion rate</t>
  </si>
  <si>
    <t xml:space="preserve">8% of free users convert</t>
  </si>
  <si>
    <t xml:space="preserve">Free → Summit conversion rate</t>
  </si>
  <si>
    <t xml:space="preserve">3% of free users convert</t>
  </si>
  <si>
    <t xml:space="preserve">Consumer churn rate (monthly)</t>
  </si>
  <si>
    <t xml:space="preserve">Users completing journeys</t>
  </si>
  <si>
    <t xml:space="preserve">Pro Solo signups / month (initial)</t>
  </si>
  <si>
    <t xml:space="preserve">Pro Solo monthly growth rate</t>
  </si>
  <si>
    <t xml:space="preserve">10% MoM</t>
  </si>
  <si>
    <t xml:space="preserve">Pro Team signups / month (initial)</t>
  </si>
  <si>
    <t xml:space="preserve">Teams, not seats</t>
  </si>
  <si>
    <t xml:space="preserve">Pro Team monthly growth rate</t>
  </si>
  <si>
    <t xml:space="preserve">8% MoM</t>
  </si>
  <si>
    <t xml:space="preserve">Pro Enterprise signups / month (initial)</t>
  </si>
  <si>
    <t xml:space="preserve">Pro Enterprise monthly growth rate</t>
  </si>
  <si>
    <t xml:space="preserve">5% MoM</t>
  </si>
  <si>
    <t xml:space="preserve">Professional churn rate (monthly)</t>
  </si>
  <si>
    <t xml:space="preserve">4% monthly churn</t>
  </si>
  <si>
    <t xml:space="preserve">Avg seats per Team account</t>
  </si>
  <si>
    <t xml:space="preserve">Avg seats per Enterprise account</t>
  </si>
  <si>
    <t xml:space="preserve">Clients invited per Pro Solo / month</t>
  </si>
  <si>
    <t xml:space="preserve">Clients invited per Team seat / month</t>
  </si>
  <si>
    <t xml:space="preserve">Clients invited per Enterprise seat / month</t>
  </si>
  <si>
    <t xml:space="preserve">Doc verification attach rate</t>
  </si>
  <si>
    <t xml:space="preserve">15% of paid consumers</t>
  </si>
  <si>
    <t xml:space="preserve">Doc verifications per user / month</t>
  </si>
  <si>
    <t xml:space="preserve">Doc verification price</t>
  </si>
  <si>
    <t xml:space="preserve">Per document</t>
  </si>
  <si>
    <t xml:space="preserve">MONTHLY PROJECTIONS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</si>
  <si>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</si>
  <si>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</si>
  <si>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</si>
  <si>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</si>
  <si>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</si>
  <si>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</si>
  <si>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</si>
  <si>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</si>
  <si>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</si>
  <si>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</si>
  <si>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</si>
  <si>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</si>
  <si>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</si>
  <si>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</si>
  <si>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</si>
  <si>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</si>
  <si>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</si>
  <si>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</si>
  <si>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</si>
  <si>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</si>
  <si>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</si>
  <si>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</si>
  <si>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</si>
  <si>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</si>
  <si>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</si>
  <si>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NEW USER ACQUISITION</t>
  </si>
  <si>
    <t xml:space="preserve">New free signups</t>
  </si>
  <si>
    <t xml:space="preserve">New Pass purchases</t>
  </si>
  <si>
    <t xml:space="preserve">New Summit purchases</t>
  </si>
  <si>
    <t xml:space="preserve">New Pro Solo signups</t>
  </si>
  <si>
    <t xml:space="preserve">New Pro Team accounts</t>
  </si>
  <si>
    <t xml:space="preserve">New Enterprise accounts</t>
  </si>
  <si>
    <t xml:space="preserve">Pro-invited clients (free upgrade)</t>
  </si>
  <si>
    <t xml:space="preserve">ACTIVE USERS (CUMULATIVE)</t>
  </si>
  <si>
    <t xml:space="preserve">Active free users</t>
  </si>
  <si>
    <t xml:space="preserve">Active Pass users</t>
  </si>
  <si>
    <t xml:space="preserve">Active Summit users</t>
  </si>
  <si>
    <t xml:space="preserve">Active Pro Solo</t>
  </si>
  <si>
    <t xml:space="preserve">Active Pro Team accounts</t>
  </si>
  <si>
    <t xml:space="preserve">Active Enterprise accounts</t>
  </si>
  <si>
    <t xml:space="preserve">Total active consumers</t>
  </si>
  <si>
    <t xml:space="preserve">Total active professionals</t>
  </si>
  <si>
    <t xml:space="preserve">TOTAL ACTIVE USERS</t>
  </si>
  <si>
    <t xml:space="preserve">MONTHLY REVENUE</t>
  </si>
  <si>
    <t xml:space="preserve">Consumer Pass revenue</t>
  </si>
  <si>
    <t xml:space="preserve">Consumer Summit revenue</t>
  </si>
  <si>
    <t xml:space="preserve">Pro Solo revenue ($59/mo)</t>
  </si>
  <si>
    <t xml:space="preserve">Pro Team revenue ($199/mo)</t>
  </si>
  <si>
    <t xml:space="preserve">Enterprise revenue ($799/mo)</t>
  </si>
  <si>
    <t xml:space="preserve">Doc verification add-on</t>
  </si>
  <si>
    <t xml:space="preserve">TOTAL MONTHLY REVENUE</t>
  </si>
  <si>
    <t xml:space="preserve">MONTHLY COSTS</t>
  </si>
  <si>
    <t xml:space="preserve">Free user infrastructure</t>
  </si>
  <si>
    <t xml:space="preserve">Pass user infrastructure</t>
  </si>
  <si>
    <t xml:space="preserve">Summit user infrastructure</t>
  </si>
  <si>
    <t xml:space="preserve">Pro Solo infrastructure</t>
  </si>
  <si>
    <t xml:space="preserve">Pro Team infrastructure</t>
  </si>
  <si>
    <t xml:space="preserve">Enterprise infrastructure</t>
  </si>
  <si>
    <t xml:space="preserve">TOTAL MONTHLY COGS</t>
  </si>
  <si>
    <t xml:space="preserve">GROSS PROFIT</t>
  </si>
  <si>
    <t xml:space="preserve">GROSS MARGIN %</t>
  </si>
  <si>
    <t xml:space="preserve">CLEAR PATH — IMPLEMENTATION SPEC FOR CLAUDE CODE</t>
  </si>
  <si>
    <t xml:space="preserve">User types, paywall gates, and feature flags for engineering implementation</t>
  </si>
  <si>
    <t xml:space="preserve">USER TYPES (enum)</t>
  </si>
  <si>
    <t xml:space="preserve">user_type</t>
  </si>
  <si>
    <t xml:space="preserve">Display Name</t>
  </si>
  <si>
    <t xml:space="preserve">Description</t>
  </si>
  <si>
    <t xml:space="preserve">Billing</t>
  </si>
  <si>
    <t xml:space="preserve">Default consumer account, no payment</t>
  </si>
  <si>
    <t xml:space="preserve">None</t>
  </si>
  <si>
    <t xml:space="preserve">Clear Path Pass</t>
  </si>
  <si>
    <t xml:space="preserve">One-time $39 consumer purchase</t>
  </si>
  <si>
    <t xml:space="preserve">One-time via Stripe</t>
  </si>
  <si>
    <t xml:space="preserve">Clear Path Summit</t>
  </si>
  <si>
    <t xml:space="preserve">One-time $79 premium consumer purchase</t>
  </si>
  <si>
    <t xml:space="preserve">consumer_invited</t>
  </si>
  <si>
    <t xml:space="preserve">Invited Client</t>
  </si>
  <si>
    <t xml:space="preserve">Consumer invited by a professional, gets Pass features free</t>
  </si>
  <si>
    <t xml:space="preserve">Covered by pro subscription</t>
  </si>
  <si>
    <t xml:space="preserve">Professional Solo</t>
  </si>
  <si>
    <t xml:space="preserve">Individual professional account, $59/mo</t>
  </si>
  <si>
    <t xml:space="preserve">Monthly/Annual via Stripe</t>
  </si>
  <si>
    <t xml:space="preserve">Professional Team</t>
  </si>
  <si>
    <t xml:space="preserve">Team professional account, $199/mo for 5 seats</t>
  </si>
  <si>
    <t xml:space="preserve">Enterprise</t>
  </si>
  <si>
    <t xml:space="preserve">Enterprise account, $799/mo, unlimited seats</t>
  </si>
  <si>
    <t xml:space="preserve">Annual via Stripe/Invoice</t>
  </si>
  <si>
    <t xml:space="preserve">FEATURE FLAGS (paywall gates)</t>
  </si>
  <si>
    <t xml:space="preserve">Feature Flag</t>
  </si>
  <si>
    <t xml:space="preserve">Gated By</t>
  </si>
  <si>
    <t xml:space="preserve">Allowed user_types</t>
  </si>
  <si>
    <t xml:space="preserve">Implementation Notes</t>
  </si>
  <si>
    <t xml:space="preserve">doc_upload_unlimited</t>
  </si>
  <si>
    <t xml:space="preserve">Paywall</t>
  </si>
  <si>
    <t xml:space="preserve">consumer_pass, consumer_summit, consumer_invited, pro_*</t>
  </si>
  <si>
    <t xml:space="preserve">Free tier: max 3 uploads, then paywall prompt</t>
  </si>
  <si>
    <t xml:space="preserve">doc_encrypted_storage</t>
  </si>
  <si>
    <t xml:space="preserve">AES-256 encryption on stored documents</t>
  </si>
  <si>
    <t xml:space="preserve">doc_share_send</t>
  </si>
  <si>
    <t xml:space="preserve">Ability to share docs WITH others (receive always free)</t>
  </si>
  <si>
    <t xml:space="preserve">doc_share_receive</t>
  </si>
  <si>
    <t xml:space="preserve">ALL</t>
  </si>
  <si>
    <t xml:space="preserve">All users can receive shared documents</t>
  </si>
  <si>
    <t xml:space="preserve">doc_ai_review</t>
  </si>
  <si>
    <t xml:space="preserve">consumer_summit, pro_*</t>
  </si>
  <si>
    <t xml:space="preserve">AI-powered document completeness review</t>
  </si>
  <si>
    <t xml:space="preserve">doc_concierge</t>
  </si>
  <si>
    <t xml:space="preserve">AI guidance on what documents to gather next</t>
  </si>
  <si>
    <t xml:space="preserve">doc_verification</t>
  </si>
  <si>
    <t xml:space="preserve">Add-on</t>
  </si>
  <si>
    <t xml:space="preserve">consumer_pass, consumer_summit, pro_*</t>
  </si>
  <si>
    <t xml:space="preserve">$7/doc add-on, requires separate payment</t>
  </si>
  <si>
    <t xml:space="preserve">share_link_generate</t>
  </si>
  <si>
    <t xml:space="preserve">Generate shareable links for document sets</t>
  </si>
  <si>
    <t xml:space="preserve">share_multiparty</t>
  </si>
  <si>
    <t xml:space="preserve">consumer_summit, pro_team, pro_enterprise</t>
  </si>
  <si>
    <t xml:space="preserve">Share with multiple professionals simultaneously</t>
  </si>
  <si>
    <t xml:space="preserve">trail_full</t>
  </si>
  <si>
    <t xml:space="preserve">Free tier: 3-step basic trail only</t>
  </si>
  <si>
    <t xml:space="preserve">trail_timeline</t>
  </si>
  <si>
    <t xml:space="preserve">Estimated closing timeline</t>
  </si>
  <si>
    <t xml:space="preserve">trail_cost_estimator</t>
  </si>
  <si>
    <t xml:space="preserve">Closing cost calculator</t>
  </si>
  <si>
    <t xml:space="preserve">trail_notifications</t>
  </si>
  <si>
    <t xml:space="preserve">Milestone push/email notifications</t>
  </si>
  <si>
    <t xml:space="preserve">theme_terrain_bg</t>
  </si>
  <si>
    <t xml:space="preserve">theme_dark_mode</t>
  </si>
  <si>
    <t xml:space="preserve">Dark mode toggle</t>
  </si>
  <si>
    <t xml:space="preserve">pro_client_dashboard</t>
  </si>
  <si>
    <t xml:space="preserve">Role</t>
  </si>
  <si>
    <t xml:space="preserve">pro_solo, pro_team, pro_enterprise</t>
  </si>
  <si>
    <t xml:space="preserve">Professional client management dashboard</t>
  </si>
  <si>
    <t xml:space="preserve">pro_invite_clients</t>
  </si>
  <si>
    <t xml:space="preserve">Invite clients to platform</t>
  </si>
  <si>
    <t xml:space="preserve">pro_client_tracking</t>
  </si>
  <si>
    <t xml:space="preserve">pro_team_visibility</t>
  </si>
  <si>
    <t xml:space="preserve">pro_team, pro_enterprise</t>
  </si>
  <si>
    <t xml:space="preserve">See all team members client lists</t>
  </si>
  <si>
    <t xml:space="preserve">pro_role_access</t>
  </si>
  <si>
    <t xml:space="preserve">Admin vs associate role assignment</t>
  </si>
  <si>
    <t xml:space="preserve">pro_cobrand</t>
  </si>
  <si>
    <t xml:space="preserve">pro_whitelabel</t>
  </si>
  <si>
    <t xml:space="preserve">Full custom branding</t>
  </si>
  <si>
    <t xml:space="preserve">pro_api</t>
  </si>
  <si>
    <t xml:space="preserve">API access for integrations</t>
  </si>
  <si>
    <t xml:space="preserve">pro_crm_integration</t>
  </si>
  <si>
    <t xml:space="preserve">CRM/LOS integration</t>
  </si>
  <si>
    <t xml:space="preserve">pro_compliance</t>
  </si>
  <si>
    <t xml:space="preserve">Compliance reporting and audit trail</t>
  </si>
  <si>
    <t xml:space="preserve">pro_analytics_team</t>
  </si>
  <si>
    <t xml:space="preserve">Team-level analytics dashboard</t>
  </si>
  <si>
    <t xml:space="preserve">pro_sla</t>
  </si>
  <si>
    <t xml:space="preserve">SLA support tier</t>
  </si>
  <si>
    <t xml:space="preserve">USAGE LIMITS</t>
  </si>
  <si>
    <t xml:space="preserve">Limit</t>
  </si>
  <si>
    <t xml:space="preserve">Value</t>
  </si>
  <si>
    <t xml:space="preserve">Enforcement</t>
  </si>
  <si>
    <t xml:space="preserve">max_doc_uploads</t>
  </si>
  <si>
    <t xml:space="preserve">3</t>
  </si>
  <si>
    <t xml:space="preserve">Hard limit, show upgrade prompt</t>
  </si>
  <si>
    <t xml:space="preserve">unlimited</t>
  </si>
  <si>
    <t xml:space="preserve">max_active_clients</t>
  </si>
  <si>
    <t xml:space="preserve">Soft limit, show add-on upsell at 12</t>
  </si>
  <si>
    <t xml:space="preserve">Soft limit, show enterprise upsell at 40</t>
  </si>
  <si>
    <t xml:space="preserve">max_seats</t>
  </si>
  <si>
    <t xml:space="preserve">Hard limit</t>
  </si>
  <si>
    <t xml:space="preserve">Can purchase additional at $15/seat/mo</t>
  </si>
  <si>
    <t xml:space="preserve">journey_duration_months</t>
  </si>
  <si>
    <t xml:space="preserve">12</t>
  </si>
  <si>
    <t xml:space="preserve">Show extension upsell at month 10</t>
  </si>
  <si>
    <t xml:space="preserve">18</t>
  </si>
  <si>
    <t xml:space="preserve">Show extension upsell at month 16</t>
  </si>
  <si>
    <t xml:space="preserve">trail_steps_visible</t>
  </si>
  <si>
    <t xml:space="preserve">Show first 3 steps, blur remainder</t>
  </si>
  <si>
    <t xml:space="preserve">PAYWALL TRIGGER POINTS (UX moments)</t>
  </si>
  <si>
    <t xml:space="preserve">Trigger</t>
  </si>
  <si>
    <t xml:space="preserve">Current user_type</t>
  </si>
  <si>
    <t xml:space="preserve">Upsell To</t>
  </si>
  <si>
    <t xml:space="preserve">UX Pattern</t>
  </si>
  <si>
    <t xml:space="preserve">4th document upload attempt</t>
  </si>
  <si>
    <t xml:space="preserve">Modal: "Unlock unlimited uploads" with Pass/Summit comparison</t>
  </si>
  <si>
    <t xml:space="preserve">Try to share a document</t>
  </si>
  <si>
    <t xml:space="preserve">Modal: "Share securely with your team" with encryption messaging</t>
  </si>
  <si>
    <t xml:space="preserve">Click blurred trail step</t>
  </si>
  <si>
    <t xml:space="preserve">Inline: blur clears to reveal, then paywall overlay</t>
  </si>
  <si>
    <t xml:space="preserve">Try to enable dark mode</t>
  </si>
  <si>
    <t xml:space="preserve">Settings toggle disabled with "Upgrade to unlock" tooltip</t>
  </si>
  <si>
    <t xml:space="preserve">Try to use AI review</t>
  </si>
  <si>
    <t xml:space="preserve">Modal: "Get AI-powered document review" Summit upsell</t>
  </si>
  <si>
    <t xml:space="preserve">12th active client added</t>
  </si>
  <si>
    <t xml:space="preserve">Dashboard banner: approaching client limit</t>
  </si>
  <si>
    <t xml:space="preserve">Try to add 2nd seat</t>
  </si>
  <si>
    <t xml:space="preserve">Modal: "Add your team" with Team plan comparison</t>
  </si>
  <si>
    <t xml:space="preserve">Try to access API</t>
  </si>
  <si>
    <t xml:space="preserve">Settings: "API access available on Enterprise"</t>
  </si>
  <si>
    <t xml:space="preserve">Month 10 of journey</t>
  </si>
  <si>
    <t xml:space="preserve">Extension add-on</t>
  </si>
  <si>
    <t xml:space="preserve">Email + in-app: "Your journey continues" extension offer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</si>
</sst>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\$#,##0;&quot;($&quot;#,##0\);\-"/>
    <numFmt numFmtId="167" formatCode="#,##0;\(#,##0\);\-"/>
    <numFmt numFmtId="168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620"/>
      <name val="Arial"/>
      <family val="0"/>
      <charset val="1"/>
    </font>
    <font>
      <i val="true"/>
      <sz val="9"/>
      <color rgb="FF5A7D70"/>
      <name val="Arial"/>
      <family val="0"/>
      <charset val="1"/>
    </font>
    <font>
      <b val="true"/>
      <sz val="12"/>
      <color rgb="FF3D7A6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D7A6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C4392E"/>
      <name val="Arial"/>
      <family val="0"/>
      <charset val="1"/>
    </font>
    <font>
      <sz val="11"/>
      <color rgb="FF2D8659"/>
      <name val="Arial"/>
      <family val="0"/>
      <charset val="1"/>
    </font>
    <font>
      <sz val="11"/>
      <color rgb="FFC4392E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4392E"/>
      <name val="Arial"/>
      <family val="0"/>
      <charset val="1"/>
    </font>
    <font>
      <sz val="10"/>
      <color rgb="FF000000"/>
      <name val="Courier New"/>
      <family val="0"/>
      <charset val="1"/>
    </font>
    <font>
      <b val="true"/>
      <sz val="10"/>
      <color rgb="FFC48A1A"/>
      <name val="Arial"/>
      <family val="0"/>
      <charset val="1"/>
    </font>
    <font>
      <sz val="10"/>
      <color rgb="FF8DA69B"/>
      <name val="Arial"/>
      <family val="0"/>
      <charset val="1"/>
    </font>
    <font>
      <b val="true"/>
      <sz val="10"/>
      <color rgb="FF3B8DBD"/>
      <name val="Arial"/>
      <family val="0"/>
      <charset val="1"/>
    </font>
    <font>
      <b val="true"/>
      <sz val="10"/>
      <color rgb="FF2D86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D7A6A"/>
        <bgColor rgb="FF346B5C"/>
      </patternFill>
    </fill>
    <fill>
      <patternFill patternType="solid">
        <fgColor rgb="FFE8F5EE"/>
        <bgColor rgb="FFE8F0FD"/>
      </patternFill>
    </fill>
    <fill>
      <patternFill patternType="solid">
        <fgColor rgb="FFFDEEEC"/>
        <bgColor rgb="FFFFF8E8"/>
      </patternFill>
    </fill>
    <fill>
      <patternFill patternType="solid">
        <fgColor rgb="FFFFFF00"/>
        <bgColor rgb="FFFFFF00"/>
      </patternFill>
    </fill>
    <fill>
      <patternFill patternType="solid">
        <fgColor rgb="FFFFF8E8"/>
        <bgColor rgb="FFFDEEEC"/>
      </patternFill>
    </fill>
    <fill>
      <patternFill patternType="solid">
        <fgColor rgb="FFE8F0FD"/>
        <bgColor rgb="FFE8F5E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D7A6A"/>
      </bottom>
      <diagonal/>
    </border>
    <border diagonalUp="false" diagonalDown="false">
      <left/>
      <right/>
      <top/>
      <bottom style="thin">
        <color rgb="FFD4D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46B5C"/>
      <rgbColor rgb="FFC0C0C0"/>
      <rgbColor rgb="FF5A7D70"/>
      <rgbColor rgb="FF9999FF"/>
      <rgbColor rgb="FF993366"/>
      <rgbColor rgb="FFFFF8E8"/>
      <rgbColor rgb="FFE8F5EE"/>
      <rgbColor rgb="FF660066"/>
      <rgbColor rgb="FFFF8080"/>
      <rgbColor rgb="FF0066CC"/>
      <rgbColor rgb="FFD4D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D"/>
      <rgbColor rgb="FFCCFFCC"/>
      <rgbColor rgb="FFFDEEEC"/>
      <rgbColor rgb="FF99CCFF"/>
      <rgbColor rgb="FFFF99CC"/>
      <rgbColor rgb="FFCC99FF"/>
      <rgbColor rgb="FFFFCC99"/>
      <rgbColor rgb="FF3B8DBD"/>
      <rgbColor rgb="FF4D9E88"/>
      <rgbColor rgb="FF99CC00"/>
      <rgbColor rgb="FFFFCC00"/>
      <rgbColor rgb="FFC48A1A"/>
      <rgbColor rgb="FFFF6600"/>
      <rgbColor rgb="FF3D7A6A"/>
      <rgbColor rgb="FF8DA69B"/>
      <rgbColor rgb="FF003366"/>
      <rgbColor rgb="FF2D8659"/>
      <rgbColor rgb="FF132620"/>
      <rgbColor rgb="FF333300"/>
      <rgbColor rgb="FFC439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7A6A"/>
    <pageSetUpPr fitToPage="false"/>
  </sheetPr>
  <dimension ref="A1:D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</row>
    <row r="7" customFormat="false" ht="15" hidden="false" customHeight="false" outlineLevel="0" collapsed="false">
      <c r="A7" s="5" t="s">
        <v>8</v>
      </c>
      <c r="B7" s="6"/>
      <c r="C7" s="6"/>
      <c r="D7" s="6"/>
    </row>
    <row r="8" customFormat="false" ht="15" hidden="false" customHeight="false" outlineLevel="0" collapsed="false">
      <c r="A8" s="6" t="s">
        <v>9</v>
      </c>
      <c r="B8" s="6" t="s">
        <v>10</v>
      </c>
      <c r="C8" s="6" t="s">
        <v>11</v>
      </c>
      <c r="D8" s="6" t="s">
        <v>12</v>
      </c>
    </row>
    <row r="9" customFormat="false" ht="15" hidden="false" customHeight="false" outlineLevel="0" collapsed="false">
      <c r="A9" s="6" t="s">
        <v>13</v>
      </c>
      <c r="B9" s="6" t="s">
        <v>14</v>
      </c>
      <c r="C9" s="6" t="s">
        <v>15</v>
      </c>
      <c r="D9" s="6" t="s">
        <v>15</v>
      </c>
    </row>
    <row r="10" customFormat="false" ht="15" hidden="false" customHeight="false" outlineLevel="0" collapsed="false">
      <c r="A10" s="7" t="s">
        <v>16</v>
      </c>
      <c r="B10" s="6" t="s">
        <v>17</v>
      </c>
      <c r="C10" s="6" t="s">
        <v>18</v>
      </c>
      <c r="D10" s="6" t="s">
        <v>19</v>
      </c>
    </row>
    <row r="11" customFormat="false" ht="15" hidden="false" customHeight="false" outlineLevel="0" collapsed="false">
      <c r="A11" s="6"/>
      <c r="B11" s="6"/>
      <c r="C11" s="6"/>
      <c r="D11" s="6"/>
    </row>
    <row r="12" customFormat="false" ht="15" hidden="false" customHeight="false" outlineLevel="0" collapsed="false">
      <c r="A12" s="5" t="s">
        <v>20</v>
      </c>
      <c r="B12" s="6"/>
      <c r="C12" s="6"/>
      <c r="D12" s="6"/>
    </row>
    <row r="13" customFormat="false" ht="15" hidden="false" customHeight="false" outlineLevel="0" collapsed="false">
      <c r="A13" s="6" t="s">
        <v>21</v>
      </c>
      <c r="B13" s="6" t="s">
        <v>22</v>
      </c>
      <c r="C13" s="6" t="s">
        <v>23</v>
      </c>
      <c r="D13" s="6" t="s">
        <v>23</v>
      </c>
    </row>
    <row r="14" customFormat="false" ht="15" hidden="false" customHeight="false" outlineLevel="0" collapsed="false">
      <c r="A14" s="6" t="s">
        <v>24</v>
      </c>
      <c r="B14" s="8" t="s">
        <v>25</v>
      </c>
      <c r="C14" s="8" t="s">
        <v>25</v>
      </c>
      <c r="D14" s="8" t="s">
        <v>25</v>
      </c>
    </row>
    <row r="15" customFormat="false" ht="15" hidden="false" customHeight="false" outlineLevel="0" collapsed="false">
      <c r="A15" s="6" t="s">
        <v>26</v>
      </c>
      <c r="B15" s="6" t="s">
        <v>27</v>
      </c>
      <c r="C15" s="6" t="s">
        <v>28</v>
      </c>
      <c r="D15" s="6" t="s">
        <v>28</v>
      </c>
    </row>
    <row r="16" customFormat="false" ht="15" hidden="false" customHeight="false" outlineLevel="0" collapsed="false">
      <c r="A16" s="6" t="s">
        <v>29</v>
      </c>
      <c r="B16" s="9" t="s">
        <v>30</v>
      </c>
      <c r="C16" s="8" t="s">
        <v>31</v>
      </c>
      <c r="D16" s="8" t="s">
        <v>31</v>
      </c>
    </row>
    <row r="17" customFormat="false" ht="15" hidden="false" customHeight="false" outlineLevel="0" collapsed="false">
      <c r="A17" s="6" t="s">
        <v>32</v>
      </c>
      <c r="B17" s="9" t="s">
        <v>30</v>
      </c>
      <c r="C17" s="9" t="s">
        <v>30</v>
      </c>
      <c r="D17" s="8" t="s">
        <v>33</v>
      </c>
    </row>
    <row r="18" customFormat="false" ht="15" hidden="false" customHeight="false" outlineLevel="0" collapsed="false">
      <c r="A18" s="6" t="s">
        <v>34</v>
      </c>
      <c r="B18" s="9" t="s">
        <v>30</v>
      </c>
      <c r="C18" s="9" t="s">
        <v>30</v>
      </c>
      <c r="D18" s="8" t="s">
        <v>25</v>
      </c>
    </row>
    <row r="19" customFormat="false" ht="15" hidden="false" customHeight="false" outlineLevel="0" collapsed="false">
      <c r="A19" s="6"/>
      <c r="B19" s="6"/>
      <c r="C19" s="6"/>
      <c r="D19" s="6"/>
    </row>
    <row r="20" customFormat="false" ht="15" hidden="false" customHeight="false" outlineLevel="0" collapsed="false">
      <c r="A20" s="5" t="s">
        <v>35</v>
      </c>
      <c r="B20" s="6"/>
      <c r="C20" s="6"/>
      <c r="D20" s="6"/>
    </row>
    <row r="21" customFormat="false" ht="15" hidden="false" customHeight="false" outlineLevel="0" collapsed="false">
      <c r="A21" s="6" t="s">
        <v>36</v>
      </c>
      <c r="B21" s="9" t="s">
        <v>30</v>
      </c>
      <c r="C21" s="8" t="s">
        <v>25</v>
      </c>
      <c r="D21" s="8" t="s">
        <v>25</v>
      </c>
    </row>
    <row r="22" customFormat="false" ht="15" hidden="false" customHeight="false" outlineLevel="0" collapsed="false">
      <c r="A22" s="6" t="s">
        <v>37</v>
      </c>
      <c r="B22" s="8" t="s">
        <v>25</v>
      </c>
      <c r="C22" s="8" t="s">
        <v>25</v>
      </c>
      <c r="D22" s="8" t="s">
        <v>25</v>
      </c>
    </row>
    <row r="23" customFormat="false" ht="15" hidden="false" customHeight="false" outlineLevel="0" collapsed="false">
      <c r="A23" s="6" t="s">
        <v>38</v>
      </c>
      <c r="B23" s="9" t="s">
        <v>30</v>
      </c>
      <c r="C23" s="8" t="s">
        <v>25</v>
      </c>
      <c r="D23" s="8" t="s">
        <v>25</v>
      </c>
    </row>
    <row r="24" customFormat="false" ht="15" hidden="false" customHeight="false" outlineLevel="0" collapsed="false">
      <c r="A24" s="6" t="s">
        <v>39</v>
      </c>
      <c r="B24" s="9" t="s">
        <v>30</v>
      </c>
      <c r="C24" s="9" t="s">
        <v>30</v>
      </c>
      <c r="D24" s="8" t="s">
        <v>25</v>
      </c>
    </row>
    <row r="25" customFormat="false" ht="15" hidden="false" customHeight="false" outlineLevel="0" collapsed="false">
      <c r="A25" s="6"/>
      <c r="B25" s="6"/>
      <c r="C25" s="6"/>
      <c r="D25" s="6"/>
    </row>
    <row r="26" customFormat="false" ht="15" hidden="false" customHeight="false" outlineLevel="0" collapsed="false">
      <c r="A26" s="5" t="s">
        <v>40</v>
      </c>
      <c r="B26" s="6"/>
      <c r="C26" s="6"/>
      <c r="D26" s="6"/>
    </row>
    <row r="27" customFormat="false" ht="15" hidden="false" customHeight="false" outlineLevel="0" collapsed="false">
      <c r="A27" s="6" t="s">
        <v>41</v>
      </c>
      <c r="B27" s="6" t="s">
        <v>42</v>
      </c>
      <c r="C27" s="6" t="s">
        <v>43</v>
      </c>
      <c r="D27" s="6" t="s">
        <v>43</v>
      </c>
    </row>
    <row r="28" customFormat="false" ht="15" hidden="false" customHeight="false" outlineLevel="0" collapsed="false">
      <c r="A28" s="6" t="s">
        <v>44</v>
      </c>
      <c r="B28" s="9" t="s">
        <v>30</v>
      </c>
      <c r="C28" s="9" t="s">
        <v>30</v>
      </c>
      <c r="D28" s="8" t="s">
        <v>25</v>
      </c>
    </row>
    <row r="29" customFormat="false" ht="15" hidden="false" customHeight="false" outlineLevel="0" collapsed="false">
      <c r="A29" s="6" t="s">
        <v>45</v>
      </c>
      <c r="B29" s="9" t="s">
        <v>30</v>
      </c>
      <c r="C29" s="9" t="s">
        <v>30</v>
      </c>
      <c r="D29" s="8" t="s">
        <v>25</v>
      </c>
    </row>
    <row r="30" customFormat="false" ht="15" hidden="false" customHeight="false" outlineLevel="0" collapsed="false">
      <c r="A30" s="6" t="s">
        <v>46</v>
      </c>
      <c r="B30" s="9" t="s">
        <v>30</v>
      </c>
      <c r="C30" s="8" t="s">
        <v>25</v>
      </c>
      <c r="D30" s="8" t="s">
        <v>25</v>
      </c>
    </row>
    <row r="31" customFormat="false" ht="15" hidden="false" customHeight="false" outlineLevel="0" collapsed="false">
      <c r="A31" s="6"/>
      <c r="B31" s="6"/>
      <c r="C31" s="6"/>
      <c r="D31" s="6"/>
    </row>
    <row r="32" customFormat="false" ht="15" hidden="false" customHeight="false" outlineLevel="0" collapsed="false">
      <c r="A32" s="5" t="s">
        <v>47</v>
      </c>
      <c r="B32" s="6"/>
      <c r="C32" s="6"/>
      <c r="D32" s="6"/>
    </row>
    <row r="33" customFormat="false" ht="15" hidden="false" customHeight="false" outlineLevel="0" collapsed="false">
      <c r="A33" s="6" t="s">
        <v>48</v>
      </c>
      <c r="B33" s="9" t="s">
        <v>30</v>
      </c>
      <c r="C33" s="8" t="s">
        <v>25</v>
      </c>
      <c r="D33" s="8" t="s">
        <v>25</v>
      </c>
    </row>
    <row r="34" customFormat="false" ht="15" hidden="false" customHeight="false" outlineLevel="0" collapsed="false">
      <c r="A34" s="6" t="s">
        <v>49</v>
      </c>
      <c r="B34" s="9" t="s">
        <v>30</v>
      </c>
      <c r="C34" s="8" t="s">
        <v>25</v>
      </c>
      <c r="D34" s="8" t="s">
        <v>25</v>
      </c>
    </row>
    <row r="35" customFormat="false" ht="15" hidden="false" customHeight="false" outlineLevel="0" collapsed="false">
      <c r="A35" s="6" t="s">
        <v>50</v>
      </c>
      <c r="B35" s="9" t="s">
        <v>30</v>
      </c>
      <c r="C35" s="9" t="s">
        <v>30</v>
      </c>
      <c r="D35" s="8" t="s">
        <v>25</v>
      </c>
    </row>
    <row r="36" customFormat="false" ht="15" hidden="false" customHeight="false" outlineLevel="0" collapsed="false">
      <c r="A36" s="6" t="s">
        <v>51</v>
      </c>
      <c r="B36" s="6" t="s">
        <v>23</v>
      </c>
      <c r="C36" s="6" t="s">
        <v>52</v>
      </c>
      <c r="D36" s="6" t="s">
        <v>53</v>
      </c>
    </row>
    <row r="39" customFormat="false" ht="15" hidden="false" customHeight="false" outlineLevel="0" collapsed="false">
      <c r="A39" s="3" t="s">
        <v>54</v>
      </c>
    </row>
    <row r="40" customFormat="false" ht="15" hidden="false" customHeight="false" outlineLevel="0" collapsed="false">
      <c r="A40" s="4" t="s">
        <v>4</v>
      </c>
      <c r="B40" s="4" t="s">
        <v>55</v>
      </c>
      <c r="C40" s="4" t="s">
        <v>56</v>
      </c>
      <c r="D40" s="4" t="s">
        <v>57</v>
      </c>
    </row>
    <row r="41" customFormat="false" ht="15" hidden="false" customHeight="false" outlineLevel="0" collapsed="false">
      <c r="A41" s="5" t="s">
        <v>8</v>
      </c>
      <c r="B41" s="6"/>
      <c r="C41" s="6"/>
      <c r="D41" s="6"/>
    </row>
    <row r="42" customFormat="false" ht="15" hidden="false" customHeight="false" outlineLevel="0" collapsed="false">
      <c r="A42" s="6" t="s">
        <v>58</v>
      </c>
      <c r="B42" s="6" t="s">
        <v>59</v>
      </c>
      <c r="C42" s="6" t="s">
        <v>60</v>
      </c>
      <c r="D42" s="6" t="s">
        <v>61</v>
      </c>
    </row>
    <row r="43" customFormat="false" ht="15" hidden="false" customHeight="false" outlineLevel="0" collapsed="false">
      <c r="A43" s="6" t="s">
        <v>62</v>
      </c>
      <c r="B43" s="6" t="s">
        <v>63</v>
      </c>
      <c r="C43" s="6" t="s">
        <v>64</v>
      </c>
      <c r="D43" s="6" t="s">
        <v>65</v>
      </c>
    </row>
    <row r="44" customFormat="false" ht="15" hidden="false" customHeight="false" outlineLevel="0" collapsed="false">
      <c r="A44" s="6" t="s">
        <v>13</v>
      </c>
      <c r="B44" s="6" t="s">
        <v>66</v>
      </c>
      <c r="C44" s="6" t="s">
        <v>66</v>
      </c>
      <c r="D44" s="6" t="s">
        <v>67</v>
      </c>
    </row>
    <row r="45" customFormat="false" ht="15" hidden="false" customHeight="false" outlineLevel="0" collapsed="false">
      <c r="A45" s="7" t="s">
        <v>16</v>
      </c>
      <c r="B45" s="6" t="s">
        <v>68</v>
      </c>
      <c r="C45" s="6" t="s">
        <v>69</v>
      </c>
      <c r="D45" s="6" t="s">
        <v>70</v>
      </c>
    </row>
    <row r="46" customFormat="false" ht="15" hidden="false" customHeight="false" outlineLevel="0" collapsed="false">
      <c r="A46" s="6"/>
      <c r="B46" s="6"/>
      <c r="C46" s="6"/>
      <c r="D46" s="6"/>
    </row>
    <row r="47" customFormat="false" ht="15" hidden="false" customHeight="false" outlineLevel="0" collapsed="false">
      <c r="A47" s="5" t="s">
        <v>71</v>
      </c>
      <c r="B47" s="6"/>
      <c r="C47" s="6"/>
      <c r="D47" s="6"/>
    </row>
    <row r="48" customFormat="false" ht="15" hidden="false" customHeight="false" outlineLevel="0" collapsed="false">
      <c r="A48" s="6" t="s">
        <v>72</v>
      </c>
      <c r="B48" s="6" t="s">
        <v>73</v>
      </c>
      <c r="C48" s="6" t="s">
        <v>74</v>
      </c>
      <c r="D48" s="6" t="s">
        <v>23</v>
      </c>
    </row>
    <row r="49" customFormat="false" ht="15" hidden="false" customHeight="false" outlineLevel="0" collapsed="false">
      <c r="A49" s="6" t="s">
        <v>75</v>
      </c>
      <c r="B49" s="6" t="s">
        <v>76</v>
      </c>
      <c r="C49" s="6" t="s">
        <v>77</v>
      </c>
      <c r="D49" s="6" t="s">
        <v>23</v>
      </c>
    </row>
    <row r="50" customFormat="false" ht="15" hidden="false" customHeight="false" outlineLevel="0" collapsed="false">
      <c r="A50" s="6" t="s">
        <v>78</v>
      </c>
      <c r="B50" s="8" t="s">
        <v>79</v>
      </c>
      <c r="C50" s="8" t="s">
        <v>79</v>
      </c>
      <c r="D50" s="8" t="s">
        <v>79</v>
      </c>
    </row>
    <row r="51" customFormat="false" ht="15" hidden="false" customHeight="false" outlineLevel="0" collapsed="false">
      <c r="A51" s="6"/>
      <c r="B51" s="6"/>
      <c r="C51" s="6"/>
      <c r="D51" s="6"/>
    </row>
    <row r="52" customFormat="false" ht="15" hidden="false" customHeight="false" outlineLevel="0" collapsed="false">
      <c r="A52" s="5" t="s">
        <v>80</v>
      </c>
      <c r="B52" s="6"/>
      <c r="C52" s="6"/>
      <c r="D52" s="6"/>
    </row>
    <row r="53" customFormat="false" ht="15" hidden="false" customHeight="false" outlineLevel="0" collapsed="false">
      <c r="A53" s="6" t="s">
        <v>81</v>
      </c>
      <c r="B53" s="8" t="s">
        <v>25</v>
      </c>
      <c r="C53" s="8" t="s">
        <v>25</v>
      </c>
      <c r="D53" s="8" t="s">
        <v>25</v>
      </c>
    </row>
    <row r="54" customFormat="false" ht="15" hidden="false" customHeight="false" outlineLevel="0" collapsed="false">
      <c r="A54" s="6" t="s">
        <v>82</v>
      </c>
      <c r="B54" s="8" t="s">
        <v>25</v>
      </c>
      <c r="C54" s="8" t="s">
        <v>25</v>
      </c>
      <c r="D54" s="8" t="s">
        <v>25</v>
      </c>
    </row>
    <row r="55" customFormat="false" ht="15" hidden="false" customHeight="false" outlineLevel="0" collapsed="false">
      <c r="A55" s="6" t="s">
        <v>83</v>
      </c>
      <c r="B55" s="8" t="s">
        <v>25</v>
      </c>
      <c r="C55" s="8" t="s">
        <v>25</v>
      </c>
      <c r="D55" s="8" t="s">
        <v>25</v>
      </c>
    </row>
    <row r="56" customFormat="false" ht="15" hidden="false" customHeight="false" outlineLevel="0" collapsed="false">
      <c r="A56" s="6" t="s">
        <v>84</v>
      </c>
      <c r="B56" s="8" t="s">
        <v>25</v>
      </c>
      <c r="C56" s="8" t="s">
        <v>25</v>
      </c>
      <c r="D56" s="8" t="s">
        <v>25</v>
      </c>
    </row>
    <row r="57" customFormat="false" ht="15" hidden="false" customHeight="false" outlineLevel="0" collapsed="false">
      <c r="A57" s="6" t="s">
        <v>85</v>
      </c>
      <c r="B57" s="9" t="s">
        <v>30</v>
      </c>
      <c r="C57" s="8" t="s">
        <v>25</v>
      </c>
      <c r="D57" s="8" t="s">
        <v>25</v>
      </c>
    </row>
    <row r="58" customFormat="false" ht="15" hidden="false" customHeight="false" outlineLevel="0" collapsed="false">
      <c r="A58" s="6" t="s">
        <v>86</v>
      </c>
      <c r="B58" s="9" t="s">
        <v>30</v>
      </c>
      <c r="C58" s="8" t="s">
        <v>25</v>
      </c>
      <c r="D58" s="8" t="s">
        <v>25</v>
      </c>
    </row>
    <row r="59" customFormat="false" ht="15" hidden="false" customHeight="false" outlineLevel="0" collapsed="false">
      <c r="A59" s="6"/>
      <c r="B59" s="6"/>
      <c r="C59" s="6"/>
      <c r="D59" s="6"/>
    </row>
    <row r="60" customFormat="false" ht="15" hidden="false" customHeight="false" outlineLevel="0" collapsed="false">
      <c r="A60" s="5" t="s">
        <v>87</v>
      </c>
      <c r="B60" s="6"/>
      <c r="C60" s="6"/>
      <c r="D60" s="6"/>
    </row>
    <row r="61" customFormat="false" ht="15" hidden="false" customHeight="false" outlineLevel="0" collapsed="false">
      <c r="A61" s="6" t="s">
        <v>88</v>
      </c>
      <c r="B61" s="9" t="s">
        <v>30</v>
      </c>
      <c r="C61" s="8" t="s">
        <v>25</v>
      </c>
      <c r="D61" s="8" t="s">
        <v>25</v>
      </c>
    </row>
    <row r="62" customFormat="false" ht="15" hidden="false" customHeight="false" outlineLevel="0" collapsed="false">
      <c r="A62" s="6" t="s">
        <v>89</v>
      </c>
      <c r="B62" s="9" t="s">
        <v>30</v>
      </c>
      <c r="C62" s="9" t="s">
        <v>30</v>
      </c>
      <c r="D62" s="8" t="s">
        <v>25</v>
      </c>
    </row>
    <row r="63" customFormat="false" ht="15" hidden="false" customHeight="false" outlineLevel="0" collapsed="false">
      <c r="A63" s="6" t="s">
        <v>90</v>
      </c>
      <c r="B63" s="9" t="s">
        <v>30</v>
      </c>
      <c r="C63" s="9" t="s">
        <v>30</v>
      </c>
      <c r="D63" s="8" t="s">
        <v>25</v>
      </c>
    </row>
    <row r="64" customFormat="false" ht="15" hidden="false" customHeight="false" outlineLevel="0" collapsed="false">
      <c r="A64" s="6" t="s">
        <v>91</v>
      </c>
      <c r="B64" s="9" t="s">
        <v>30</v>
      </c>
      <c r="C64" s="9" t="s">
        <v>30</v>
      </c>
      <c r="D64" s="8" t="s">
        <v>25</v>
      </c>
    </row>
    <row r="65" customFormat="false" ht="15" hidden="false" customHeight="false" outlineLevel="0" collapsed="false">
      <c r="A65" s="6"/>
      <c r="B65" s="6"/>
      <c r="C65" s="6"/>
      <c r="D65" s="6"/>
    </row>
    <row r="66" customFormat="false" ht="15" hidden="false" customHeight="false" outlineLevel="0" collapsed="false">
      <c r="A66" s="5" t="s">
        <v>92</v>
      </c>
      <c r="B66" s="6"/>
      <c r="C66" s="6"/>
      <c r="D66" s="6"/>
    </row>
    <row r="67" customFormat="false" ht="15" hidden="false" customHeight="false" outlineLevel="0" collapsed="false">
      <c r="A67" s="6" t="s">
        <v>93</v>
      </c>
      <c r="B67" s="8" t="s">
        <v>25</v>
      </c>
      <c r="C67" s="8" t="s">
        <v>25</v>
      </c>
      <c r="D67" s="8" t="s">
        <v>25</v>
      </c>
    </row>
    <row r="68" customFormat="false" ht="15" hidden="false" customHeight="false" outlineLevel="0" collapsed="false">
      <c r="A68" s="6" t="s">
        <v>94</v>
      </c>
      <c r="B68" s="9" t="s">
        <v>30</v>
      </c>
      <c r="C68" s="8" t="s">
        <v>25</v>
      </c>
      <c r="D68" s="8" t="s">
        <v>25</v>
      </c>
    </row>
    <row r="69" customFormat="false" ht="15" hidden="false" customHeight="false" outlineLevel="0" collapsed="false">
      <c r="A69" s="6" t="s">
        <v>95</v>
      </c>
      <c r="B69" s="9" t="s">
        <v>30</v>
      </c>
      <c r="C69" s="9" t="s">
        <v>30</v>
      </c>
      <c r="D69" s="8" t="s">
        <v>25</v>
      </c>
    </row>
    <row r="70" customFormat="false" ht="15" hidden="false" customHeight="false" outlineLevel="0" collapsed="false">
      <c r="A70" s="6" t="s">
        <v>96</v>
      </c>
      <c r="B70" s="9" t="s">
        <v>30</v>
      </c>
      <c r="C70" s="8" t="s">
        <v>25</v>
      </c>
      <c r="D70" s="8" t="s">
        <v>25</v>
      </c>
    </row>
    <row r="71" customFormat="false" ht="15" hidden="false" customHeight="false" outlineLevel="0" collapsed="false">
      <c r="A71" s="6" t="s">
        <v>97</v>
      </c>
      <c r="B71" s="9" t="s">
        <v>30</v>
      </c>
      <c r="C71" s="9" t="s">
        <v>30</v>
      </c>
      <c r="D71" s="8" t="s">
        <v>25</v>
      </c>
    </row>
    <row r="72" customFormat="false" ht="15" hidden="false" customHeight="false" outlineLevel="0" collapsed="false">
      <c r="A72" s="6"/>
      <c r="B72" s="6"/>
      <c r="C72" s="6"/>
      <c r="D72" s="6"/>
    </row>
    <row r="73" customFormat="false" ht="15" hidden="false" customHeight="false" outlineLevel="0" collapsed="false">
      <c r="A73" s="5" t="s">
        <v>98</v>
      </c>
      <c r="B73" s="6"/>
      <c r="C73" s="6"/>
      <c r="D73" s="6"/>
    </row>
    <row r="74" customFormat="false" ht="15" hidden="false" customHeight="false" outlineLevel="0" collapsed="false">
      <c r="A74" s="6" t="s">
        <v>99</v>
      </c>
      <c r="B74" s="8" t="s">
        <v>25</v>
      </c>
      <c r="C74" s="6"/>
      <c r="D74" s="6"/>
    </row>
    <row r="75" customFormat="false" ht="15" hidden="false" customHeight="false" outlineLevel="0" collapsed="false">
      <c r="A75" s="6" t="s">
        <v>100</v>
      </c>
      <c r="B75" s="8" t="s">
        <v>25</v>
      </c>
      <c r="C75" s="6"/>
      <c r="D75" s="6"/>
    </row>
    <row r="76" customFormat="false" ht="15" hidden="false" customHeight="false" outlineLevel="0" collapsed="false">
      <c r="A76" s="6" t="s">
        <v>101</v>
      </c>
      <c r="B76" s="8" t="s">
        <v>25</v>
      </c>
      <c r="C76" s="6"/>
      <c r="D76" s="6"/>
    </row>
    <row r="77" customFormat="false" ht="15" hidden="false" customHeight="false" outlineLevel="0" collapsed="false">
      <c r="A77" s="6" t="s">
        <v>102</v>
      </c>
      <c r="B77" s="6"/>
      <c r="C77" s="8" t="s">
        <v>25</v>
      </c>
      <c r="D77" s="6"/>
    </row>
    <row r="78" customFormat="false" ht="15" hidden="false" customHeight="false" outlineLevel="0" collapsed="false">
      <c r="A78" s="6" t="s">
        <v>103</v>
      </c>
      <c r="B78" s="6"/>
      <c r="C78" s="8" t="s">
        <v>25</v>
      </c>
      <c r="D78" s="6"/>
    </row>
    <row r="79" customFormat="false" ht="15" hidden="false" customHeight="false" outlineLevel="0" collapsed="false">
      <c r="A79" s="6" t="s">
        <v>104</v>
      </c>
      <c r="B79" s="6"/>
      <c r="C79" s="6"/>
      <c r="D79" s="8" t="s">
        <v>25</v>
      </c>
    </row>
    <row r="80" customFormat="false" ht="15" hidden="false" customHeight="false" outlineLevel="0" collapsed="false">
      <c r="A80" s="6" t="s">
        <v>105</v>
      </c>
      <c r="B80" s="6"/>
      <c r="C80" s="6"/>
      <c r="D80" s="8" t="s">
        <v>25</v>
      </c>
    </row>
    <row r="81" customFormat="false" ht="15" hidden="false" customHeight="false" outlineLevel="0" collapsed="false">
      <c r="A81" s="6" t="s">
        <v>106</v>
      </c>
      <c r="B81" s="6"/>
      <c r="C81" s="6"/>
      <c r="D81" s="8" t="s">
        <v>25</v>
      </c>
    </row>
    <row r="84" customFormat="false" ht="15" hidden="false" customHeight="false" outlineLevel="0" collapsed="false">
      <c r="A84" s="3" t="s">
        <v>107</v>
      </c>
    </row>
    <row r="85" customFormat="false" ht="15" hidden="false" customHeight="false" outlineLevel="0" collapsed="false">
      <c r="A85" s="4" t="s">
        <v>108</v>
      </c>
      <c r="B85" s="4" t="s">
        <v>9</v>
      </c>
      <c r="C85" s="4" t="s">
        <v>109</v>
      </c>
      <c r="D85" s="4" t="s">
        <v>110</v>
      </c>
    </row>
    <row r="86" customFormat="false" ht="15" hidden="false" customHeight="false" outlineLevel="0" collapsed="false">
      <c r="A86" s="6" t="s">
        <v>111</v>
      </c>
      <c r="B86" s="10" t="s">
        <v>112</v>
      </c>
      <c r="C86" s="6" t="s">
        <v>113</v>
      </c>
      <c r="D86" s="6" t="s">
        <v>114</v>
      </c>
    </row>
    <row r="87" customFormat="false" ht="15" hidden="false" customHeight="false" outlineLevel="0" collapsed="false">
      <c r="A87" s="6" t="s">
        <v>115</v>
      </c>
      <c r="B87" s="10" t="s">
        <v>116</v>
      </c>
      <c r="C87" s="6" t="s">
        <v>117</v>
      </c>
      <c r="D87" s="6" t="s">
        <v>118</v>
      </c>
    </row>
    <row r="88" customFormat="false" ht="15" hidden="false" customHeight="false" outlineLevel="0" collapsed="false">
      <c r="A88" s="6" t="s">
        <v>119</v>
      </c>
      <c r="B88" s="10" t="s">
        <v>120</v>
      </c>
      <c r="C88" s="6" t="s">
        <v>121</v>
      </c>
      <c r="D88" s="6" t="s">
        <v>122</v>
      </c>
    </row>
    <row r="89" customFormat="false" ht="15" hidden="false" customHeight="false" outlineLevel="0" collapsed="false">
      <c r="A89" s="6" t="s">
        <v>123</v>
      </c>
      <c r="B89" s="10" t="s">
        <v>124</v>
      </c>
      <c r="C89" s="6" t="s">
        <v>125</v>
      </c>
      <c r="D89" s="6" t="s">
        <v>126</v>
      </c>
    </row>
    <row r="90" customFormat="false" ht="15" hidden="false" customHeight="false" outlineLevel="0" collapsed="false">
      <c r="A90" s="6" t="s">
        <v>127</v>
      </c>
      <c r="B90" s="10" t="s">
        <v>128</v>
      </c>
      <c r="C90" s="6" t="s">
        <v>129</v>
      </c>
      <c r="D90" s="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6B5C"/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3" t="s">
        <v>133</v>
      </c>
    </row>
    <row r="5" customFormat="false" ht="15" hidden="false" customHeight="false" outlineLevel="0" collapsed="false">
      <c r="A5" s="4" t="s">
        <v>134</v>
      </c>
      <c r="B5" s="4" t="s">
        <v>135</v>
      </c>
      <c r="C5" s="4" t="s">
        <v>136</v>
      </c>
      <c r="D5" s="4" t="s">
        <v>137</v>
      </c>
      <c r="E5" s="4" t="s">
        <v>138</v>
      </c>
      <c r="F5" s="4" t="s">
        <v>139</v>
      </c>
      <c r="G5" s="4" t="s">
        <v>140</v>
      </c>
    </row>
    <row r="6" customFormat="false" ht="15" hidden="false" customHeight="false" outlineLevel="0" collapsed="false">
      <c r="A6" s="6" t="s">
        <v>141</v>
      </c>
      <c r="B6" s="11" t="n">
        <v>0.25</v>
      </c>
      <c r="C6" s="11" t="n">
        <v>0.75</v>
      </c>
      <c r="D6" s="11" t="n">
        <v>1</v>
      </c>
      <c r="E6" s="11" t="n">
        <v>2</v>
      </c>
      <c r="F6" s="11" t="n">
        <v>2.5</v>
      </c>
      <c r="G6" s="12" t="s">
        <v>142</v>
      </c>
    </row>
    <row r="7" customFormat="false" ht="15" hidden="false" customHeight="false" outlineLevel="0" collapsed="false">
      <c r="A7" s="6" t="s">
        <v>143</v>
      </c>
      <c r="B7" s="11" t="n">
        <v>0</v>
      </c>
      <c r="C7" s="11" t="n">
        <v>0</v>
      </c>
      <c r="D7" s="11" t="n">
        <v>1.5</v>
      </c>
      <c r="E7" s="11" t="n">
        <v>0.5</v>
      </c>
      <c r="F7" s="11" t="n">
        <v>0.75</v>
      </c>
      <c r="G7" s="12" t="s">
        <v>144</v>
      </c>
    </row>
    <row r="8" customFormat="false" ht="15" hidden="false" customHeight="false" outlineLevel="0" collapsed="false">
      <c r="A8" s="6" t="s">
        <v>145</v>
      </c>
      <c r="B8" s="11" t="n">
        <v>0.15</v>
      </c>
      <c r="C8" s="11" t="n">
        <v>0.3</v>
      </c>
      <c r="D8" s="11" t="n">
        <v>0.4</v>
      </c>
      <c r="E8" s="11" t="n">
        <v>0.6</v>
      </c>
      <c r="F8" s="11" t="n">
        <v>0.8</v>
      </c>
      <c r="G8" s="12" t="s">
        <v>146</v>
      </c>
    </row>
    <row r="9" customFormat="false" ht="15" hidden="false" customHeight="false" outlineLevel="0" collapsed="false">
      <c r="A9" s="6" t="s">
        <v>147</v>
      </c>
      <c r="B9" s="11" t="n">
        <v>0.1</v>
      </c>
      <c r="C9" s="11" t="n">
        <v>0.2</v>
      </c>
      <c r="D9" s="11" t="n">
        <v>0.25</v>
      </c>
      <c r="E9" s="11" t="n">
        <v>0.4</v>
      </c>
      <c r="F9" s="11" t="n">
        <v>0.5</v>
      </c>
      <c r="G9" s="12" t="s">
        <v>148</v>
      </c>
    </row>
    <row r="10" customFormat="false" ht="15" hidden="false" customHeight="false" outlineLevel="0" collapsed="false">
      <c r="A10" s="6" t="s">
        <v>149</v>
      </c>
      <c r="B10" s="11" t="n">
        <v>0.05</v>
      </c>
      <c r="C10" s="11" t="n">
        <v>0.1</v>
      </c>
      <c r="D10" s="11" t="n">
        <v>0.15</v>
      </c>
      <c r="E10" s="11" t="n">
        <v>0.2</v>
      </c>
      <c r="F10" s="11" t="n">
        <v>0.25</v>
      </c>
      <c r="G10" s="12" t="s">
        <v>150</v>
      </c>
    </row>
    <row r="11" customFormat="false" ht="15" hidden="false" customHeight="false" outlineLevel="0" collapsed="false">
      <c r="A11" s="6" t="s">
        <v>151</v>
      </c>
      <c r="B11" s="11" t="n">
        <v>0</v>
      </c>
      <c r="C11" s="11" t="n">
        <v>0.15</v>
      </c>
      <c r="D11" s="11" t="n">
        <v>0.15</v>
      </c>
      <c r="E11" s="11" t="n">
        <v>0.2</v>
      </c>
      <c r="F11" s="11" t="n">
        <v>0.2</v>
      </c>
      <c r="G11" s="12" t="s">
        <v>152</v>
      </c>
    </row>
    <row r="12" customFormat="false" ht="15" hidden="false" customHeight="false" outlineLevel="0" collapsed="false">
      <c r="A12" s="6" t="s">
        <v>153</v>
      </c>
      <c r="B12" s="11" t="n">
        <v>0.05</v>
      </c>
      <c r="C12" s="11" t="n">
        <v>0.1</v>
      </c>
      <c r="D12" s="11" t="n">
        <v>0.15</v>
      </c>
      <c r="E12" s="11" t="n">
        <v>0.15</v>
      </c>
      <c r="F12" s="11" t="n">
        <v>0.2</v>
      </c>
      <c r="G12" s="12" t="s">
        <v>154</v>
      </c>
    </row>
    <row r="13" customFormat="false" ht="15" hidden="false" customHeight="false" outlineLevel="0" collapsed="false">
      <c r="A13" s="6" t="s">
        <v>155</v>
      </c>
      <c r="B13" s="11" t="n">
        <v>0.05</v>
      </c>
      <c r="C13" s="11" t="n">
        <v>0.05</v>
      </c>
      <c r="D13" s="11" t="n">
        <v>0.05</v>
      </c>
      <c r="E13" s="11" t="n">
        <v>0.1</v>
      </c>
      <c r="F13" s="11" t="n">
        <v>0.1</v>
      </c>
      <c r="G13" s="12" t="s">
        <v>156</v>
      </c>
    </row>
    <row r="14" customFormat="false" ht="15" hidden="false" customHeight="false" outlineLevel="0" collapsed="false">
      <c r="A14" s="6" t="s">
        <v>157</v>
      </c>
      <c r="B14" s="11" t="n">
        <v>0.02</v>
      </c>
      <c r="C14" s="11" t="n">
        <v>0.03</v>
      </c>
      <c r="D14" s="11" t="n">
        <v>0.04</v>
      </c>
      <c r="E14" s="11" t="n">
        <v>0.05</v>
      </c>
      <c r="F14" s="11" t="n">
        <v>0.06</v>
      </c>
      <c r="G14" s="12" t="s">
        <v>158</v>
      </c>
    </row>
    <row r="15" customFormat="false" ht="15" hidden="false" customHeight="false" outlineLevel="0" collapsed="false">
      <c r="A15" s="13" t="s">
        <v>159</v>
      </c>
      <c r="B15" s="14" t="n">
        <f aca="false">SUM(B6:B14)</f>
        <v>0.67</v>
      </c>
      <c r="C15" s="14" t="n">
        <f aca="false">SUM(C6:C14)</f>
        <v>1.68</v>
      </c>
      <c r="D15" s="14" t="n">
        <f aca="false">SUM(D6:D14)</f>
        <v>3.69</v>
      </c>
      <c r="E15" s="14" t="n">
        <f aca="false">SUM(E6:E14)</f>
        <v>4.2</v>
      </c>
      <c r="F15" s="14" t="n">
        <f aca="false">SUM(F6:F14)</f>
        <v>5.36</v>
      </c>
      <c r="G15" s="15"/>
    </row>
    <row r="17" customFormat="false" ht="15" hidden="false" customHeight="false" outlineLevel="0" collapsed="false">
      <c r="A17" s="3" t="s">
        <v>160</v>
      </c>
    </row>
    <row r="18" customFormat="false" ht="15" hidden="false" customHeight="false" outlineLevel="0" collapsed="false">
      <c r="A18" s="4" t="s">
        <v>161</v>
      </c>
      <c r="B18" s="4" t="s">
        <v>135</v>
      </c>
      <c r="C18" s="4" t="s">
        <v>136</v>
      </c>
      <c r="D18" s="4" t="s">
        <v>137</v>
      </c>
      <c r="E18" s="4" t="s">
        <v>138</v>
      </c>
      <c r="F18" s="4" t="s">
        <v>139</v>
      </c>
    </row>
    <row r="19" customFormat="false" ht="15" hidden="false" customHeight="false" outlineLevel="0" collapsed="false">
      <c r="A19" s="16" t="s">
        <v>9</v>
      </c>
      <c r="B19" s="17" t="n">
        <v>0</v>
      </c>
      <c r="C19" s="18" t="n">
        <v>39</v>
      </c>
      <c r="D19" s="18" t="n">
        <v>79</v>
      </c>
      <c r="E19" s="18" t="n">
        <v>59</v>
      </c>
      <c r="F19" s="19" t="n">
        <v>39.8</v>
      </c>
      <c r="G19" s="2" t="s">
        <v>162</v>
      </c>
    </row>
    <row r="20" customFormat="false" ht="15" hidden="false" customHeight="false" outlineLevel="0" collapsed="false">
      <c r="A20" s="16" t="s">
        <v>163</v>
      </c>
      <c r="B20" s="16" t="s">
        <v>164</v>
      </c>
      <c r="C20" s="16" t="s">
        <v>15</v>
      </c>
      <c r="D20" s="16" t="s">
        <v>15</v>
      </c>
      <c r="E20" s="16" t="s">
        <v>165</v>
      </c>
      <c r="F20" s="16" t="s">
        <v>165</v>
      </c>
    </row>
    <row r="21" customFormat="false" ht="15" hidden="false" customHeight="false" outlineLevel="0" collapsed="false">
      <c r="A21" s="16" t="s">
        <v>166</v>
      </c>
      <c r="B21" s="20" t="n">
        <v>2</v>
      </c>
      <c r="C21" s="20" t="n">
        <v>4</v>
      </c>
      <c r="D21" s="20" t="n">
        <v>4</v>
      </c>
      <c r="E21" s="20" t="n">
        <v>12</v>
      </c>
      <c r="F21" s="20" t="n">
        <v>12</v>
      </c>
      <c r="G21" s="2" t="s">
        <v>167</v>
      </c>
    </row>
    <row r="22" customFormat="false" ht="15" hidden="false" customHeight="false" outlineLevel="0" collapsed="false">
      <c r="A22" s="21" t="s">
        <v>168</v>
      </c>
      <c r="B22" s="22" t="n">
        <f aca="false">B19</f>
        <v>0</v>
      </c>
      <c r="C22" s="22" t="n">
        <f aca="false">C19/C21</f>
        <v>9.75</v>
      </c>
      <c r="D22" s="22" t="n">
        <f aca="false">D19/D21</f>
        <v>19.75</v>
      </c>
      <c r="E22" s="22" t="n">
        <f aca="false">E19</f>
        <v>59</v>
      </c>
      <c r="F22" s="22" t="n">
        <f aca="false">F19</f>
        <v>39.8</v>
      </c>
    </row>
    <row r="23" customFormat="false" ht="15" hidden="false" customHeight="false" outlineLevel="0" collapsed="false">
      <c r="A23" s="16" t="s">
        <v>169</v>
      </c>
      <c r="B23" s="23" t="n">
        <f aca="false">B15</f>
        <v>0.67</v>
      </c>
      <c r="C23" s="23" t="n">
        <f aca="false">C15</f>
        <v>1.68</v>
      </c>
      <c r="D23" s="23" t="n">
        <f aca="false">D15</f>
        <v>3.69</v>
      </c>
      <c r="E23" s="23" t="n">
        <f aca="false">E15</f>
        <v>4.2</v>
      </c>
      <c r="F23" s="23" t="n">
        <f aca="false">F15</f>
        <v>5.36</v>
      </c>
    </row>
    <row r="24" customFormat="false" ht="15" hidden="false" customHeight="false" outlineLevel="0" collapsed="false">
      <c r="A24" s="21" t="s">
        <v>170</v>
      </c>
      <c r="B24" s="24" t="n">
        <f aca="false">B22-B23</f>
        <v>-0.67</v>
      </c>
      <c r="C24" s="24" t="n">
        <f aca="false">C22-C23</f>
        <v>8.07</v>
      </c>
      <c r="D24" s="24" t="n">
        <f aca="false">D22-D23</f>
        <v>16.06</v>
      </c>
      <c r="E24" s="24" t="n">
        <f aca="false">E22-E23</f>
        <v>54.8</v>
      </c>
      <c r="F24" s="24" t="n">
        <f aca="false">F22-F23</f>
        <v>34.44</v>
      </c>
    </row>
    <row r="25" customFormat="false" ht="15" hidden="false" customHeight="false" outlineLevel="0" collapsed="false">
      <c r="A25" s="21" t="s">
        <v>171</v>
      </c>
      <c r="B25" s="25" t="n">
        <f aca="false">IF(B22=0,0,B24/B22)</f>
        <v>0</v>
      </c>
      <c r="C25" s="25" t="n">
        <f aca="false">IF(C22=0,0,C24/C22)</f>
        <v>0.827692307692308</v>
      </c>
      <c r="D25" s="25" t="n">
        <f aca="false">IF(D22=0,0,D24/D22)</f>
        <v>0.813164556962025</v>
      </c>
      <c r="E25" s="25" t="n">
        <f aca="false">IF(E22=0,0,E24/E22)</f>
        <v>0.928813559322034</v>
      </c>
      <c r="F25" s="25" t="n">
        <f aca="false">IF(F22=0,0,F24/F22)</f>
        <v>0.865326633165829</v>
      </c>
    </row>
    <row r="27" customFormat="false" ht="15" hidden="false" customHeight="false" outlineLevel="0" collapsed="false">
      <c r="A27" s="21" t="s">
        <v>172</v>
      </c>
      <c r="B27" s="24" t="n">
        <f aca="false">B22*B21</f>
        <v>0</v>
      </c>
      <c r="C27" s="24" t="n">
        <f aca="false">C22*C21</f>
        <v>39</v>
      </c>
      <c r="D27" s="24" t="n">
        <f aca="false">D22*D21</f>
        <v>79</v>
      </c>
      <c r="E27" s="24" t="n">
        <f aca="false">E22*E21</f>
        <v>708</v>
      </c>
      <c r="F27" s="24" t="n">
        <f aca="false">F22*F21</f>
        <v>477.6</v>
      </c>
    </row>
    <row r="28" customFormat="false" ht="15" hidden="false" customHeight="false" outlineLevel="0" collapsed="false">
      <c r="A28" s="16" t="s">
        <v>173</v>
      </c>
      <c r="B28" s="22" t="n">
        <f aca="false">B23*B21</f>
        <v>1.34</v>
      </c>
      <c r="C28" s="22" t="n">
        <f aca="false">C23*C21</f>
        <v>6.72</v>
      </c>
      <c r="D28" s="22" t="n">
        <f aca="false">D23*D21</f>
        <v>14.76</v>
      </c>
      <c r="E28" s="22" t="n">
        <f aca="false">E23*E21</f>
        <v>50.4</v>
      </c>
      <c r="F28" s="22" t="n">
        <f aca="false">F23*F21</f>
        <v>64.32</v>
      </c>
    </row>
    <row r="29" customFormat="false" ht="15" hidden="false" customHeight="false" outlineLevel="0" collapsed="false">
      <c r="A29" s="21" t="s">
        <v>174</v>
      </c>
      <c r="B29" s="14" t="n">
        <f aca="false">B27-B28</f>
        <v>-1.34</v>
      </c>
      <c r="C29" s="14" t="n">
        <f aca="false">C27-C28</f>
        <v>32.28</v>
      </c>
      <c r="D29" s="14" t="n">
        <f aca="false">D27-D28</f>
        <v>64.24</v>
      </c>
      <c r="E29" s="14" t="n">
        <f aca="false">E27-E28</f>
        <v>657.6</v>
      </c>
      <c r="F29" s="14" t="n">
        <f aca="false">F27-F28</f>
        <v>413.28</v>
      </c>
    </row>
    <row r="31" customFormat="false" ht="15" hidden="false" customHeight="false" outlineLevel="0" collapsed="false">
      <c r="A31" s="2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D9E88"/>
    <pageSetUpPr fitToPage="false"/>
  </sheetPr>
  <dimension ref="A1:Y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1" topLeftCell="B32" activePane="bottomRight" state="frozen"/>
      <selection pane="topLeft" activeCell="A1" activeCellId="0" sqref="A1"/>
      <selection pane="topRight" activeCell="B1" activeCellId="0" sqref="B1"/>
      <selection pane="bottomLeft" activeCell="A32" activeCellId="0" sqref="A3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5" min="2" style="0" width="14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4" customFormat="false" ht="15" hidden="false" customHeight="false" outlineLevel="0" collapsed="false">
      <c r="A4" s="3" t="s">
        <v>178</v>
      </c>
    </row>
    <row r="5" customFormat="false" ht="15" hidden="false" customHeight="false" outlineLevel="0" collapsed="false">
      <c r="A5" s="6" t="s">
        <v>179</v>
      </c>
      <c r="B5" s="27" t="n">
        <v>200</v>
      </c>
      <c r="C5" s="28"/>
    </row>
    <row r="6" customFormat="false" ht="15" hidden="false" customHeight="false" outlineLevel="0" collapsed="false">
      <c r="A6" s="6" t="s">
        <v>180</v>
      </c>
      <c r="B6" s="29" t="n">
        <v>0.12</v>
      </c>
      <c r="C6" s="12" t="s">
        <v>181</v>
      </c>
    </row>
    <row r="7" customFormat="false" ht="15" hidden="false" customHeight="false" outlineLevel="0" collapsed="false">
      <c r="A7" s="6" t="s">
        <v>182</v>
      </c>
      <c r="B7" s="29" t="n">
        <v>0.08</v>
      </c>
      <c r="C7" s="12" t="s">
        <v>183</v>
      </c>
    </row>
    <row r="8" customFormat="false" ht="15" hidden="false" customHeight="false" outlineLevel="0" collapsed="false">
      <c r="A8" s="6" t="s">
        <v>184</v>
      </c>
      <c r="B8" s="29" t="n">
        <v>0.03</v>
      </c>
      <c r="C8" s="12" t="s">
        <v>185</v>
      </c>
    </row>
    <row r="9" customFormat="false" ht="15" hidden="false" customHeight="false" outlineLevel="0" collapsed="false">
      <c r="A9" s="6" t="s">
        <v>186</v>
      </c>
      <c r="B9" s="29" t="n">
        <v>0.15</v>
      </c>
      <c r="C9" s="12" t="s">
        <v>187</v>
      </c>
    </row>
    <row r="10" customFormat="false" ht="15" hidden="false" customHeight="false" outlineLevel="0" collapsed="false">
      <c r="A10" s="6"/>
      <c r="B10" s="28"/>
      <c r="C10" s="28"/>
    </row>
    <row r="11" customFormat="false" ht="15" hidden="false" customHeight="false" outlineLevel="0" collapsed="false">
      <c r="A11" s="6" t="s">
        <v>188</v>
      </c>
      <c r="B11" s="27" t="n">
        <v>10</v>
      </c>
      <c r="C11" s="28"/>
    </row>
    <row r="12" customFormat="false" ht="15" hidden="false" customHeight="false" outlineLevel="0" collapsed="false">
      <c r="A12" s="6" t="s">
        <v>189</v>
      </c>
      <c r="B12" s="29" t="n">
        <v>0.1</v>
      </c>
      <c r="C12" s="12" t="s">
        <v>190</v>
      </c>
    </row>
    <row r="13" customFormat="false" ht="15" hidden="false" customHeight="false" outlineLevel="0" collapsed="false">
      <c r="A13" s="6" t="s">
        <v>191</v>
      </c>
      <c r="B13" s="27" t="n">
        <v>3</v>
      </c>
      <c r="C13" s="12" t="s">
        <v>192</v>
      </c>
    </row>
    <row r="14" customFormat="false" ht="15" hidden="false" customHeight="false" outlineLevel="0" collapsed="false">
      <c r="A14" s="6" t="s">
        <v>193</v>
      </c>
      <c r="B14" s="29" t="n">
        <v>0.08</v>
      </c>
      <c r="C14" s="12" t="s">
        <v>194</v>
      </c>
    </row>
    <row r="15" customFormat="false" ht="15" hidden="false" customHeight="false" outlineLevel="0" collapsed="false">
      <c r="A15" s="6" t="s">
        <v>195</v>
      </c>
      <c r="B15" s="27" t="n">
        <v>1</v>
      </c>
      <c r="C15" s="28"/>
    </row>
    <row r="16" customFormat="false" ht="15" hidden="false" customHeight="false" outlineLevel="0" collapsed="false">
      <c r="A16" s="6" t="s">
        <v>196</v>
      </c>
      <c r="B16" s="29" t="n">
        <v>0.05</v>
      </c>
      <c r="C16" s="12" t="s">
        <v>197</v>
      </c>
    </row>
    <row r="17" customFormat="false" ht="15" hidden="false" customHeight="false" outlineLevel="0" collapsed="false">
      <c r="A17" s="6" t="s">
        <v>198</v>
      </c>
      <c r="B17" s="29" t="n">
        <v>0.04</v>
      </c>
      <c r="C17" s="12" t="s">
        <v>199</v>
      </c>
    </row>
    <row r="18" customFormat="false" ht="15" hidden="false" customHeight="false" outlineLevel="0" collapsed="false">
      <c r="A18" s="6"/>
      <c r="B18" s="28"/>
      <c r="C18" s="28"/>
    </row>
    <row r="19" customFormat="false" ht="15" hidden="false" customHeight="false" outlineLevel="0" collapsed="false">
      <c r="A19" s="6" t="s">
        <v>200</v>
      </c>
      <c r="B19" s="27" t="n">
        <v>5</v>
      </c>
      <c r="C19" s="28"/>
    </row>
    <row r="20" customFormat="false" ht="15" hidden="false" customHeight="false" outlineLevel="0" collapsed="false">
      <c r="A20" s="6" t="s">
        <v>201</v>
      </c>
      <c r="B20" s="27" t="n">
        <v>15</v>
      </c>
      <c r="C20" s="28"/>
    </row>
    <row r="21" customFormat="false" ht="15" hidden="false" customHeight="false" outlineLevel="0" collapsed="false">
      <c r="A21" s="6" t="s">
        <v>202</v>
      </c>
      <c r="B21" s="27" t="n">
        <v>4</v>
      </c>
      <c r="C21" s="28"/>
    </row>
    <row r="22" customFormat="false" ht="15" hidden="false" customHeight="false" outlineLevel="0" collapsed="false">
      <c r="A22" s="6" t="s">
        <v>203</v>
      </c>
      <c r="B22" s="27" t="n">
        <v>3</v>
      </c>
      <c r="C22" s="28"/>
    </row>
    <row r="23" customFormat="false" ht="15" hidden="false" customHeight="false" outlineLevel="0" collapsed="false">
      <c r="A23" s="6" t="s">
        <v>204</v>
      </c>
      <c r="B23" s="27" t="n">
        <v>3</v>
      </c>
      <c r="C23" s="28"/>
    </row>
    <row r="24" customFormat="false" ht="15" hidden="false" customHeight="false" outlineLevel="0" collapsed="false">
      <c r="A24" s="6"/>
      <c r="B24" s="28"/>
      <c r="C24" s="28"/>
    </row>
    <row r="25" customFormat="false" ht="15" hidden="false" customHeight="false" outlineLevel="0" collapsed="false">
      <c r="A25" s="6" t="s">
        <v>205</v>
      </c>
      <c r="B25" s="29" t="n">
        <v>0.15</v>
      </c>
      <c r="C25" s="12" t="s">
        <v>206</v>
      </c>
    </row>
    <row r="26" customFormat="false" ht="15" hidden="false" customHeight="false" outlineLevel="0" collapsed="false">
      <c r="A26" s="6" t="s">
        <v>207</v>
      </c>
      <c r="B26" s="27" t="n">
        <v>2</v>
      </c>
      <c r="C26" s="28"/>
    </row>
    <row r="27" customFormat="false" ht="15" hidden="false" customHeight="false" outlineLevel="0" collapsed="false">
      <c r="A27" s="6" t="s">
        <v>208</v>
      </c>
      <c r="B27" s="30" t="n">
        <v>7</v>
      </c>
      <c r="C27" s="12" t="s">
        <v>209</v>
      </c>
    </row>
    <row r="30" customFormat="false" ht="15" hidden="false" customHeight="false" outlineLevel="0" collapsed="false">
      <c r="A30" s="3" t="s">
        <v>210</v>
      </c>
    </row>
    <row r="31" customFormat="false" ht="15" hidden="false" customHeight="false" outlineLevel="0" collapsed="false">
      <c r="A31" s="16" t="s">
        <v>211</v>
      </c>
      <c r="B31" s="31" t="s">
        <v>212</v>
      </c>
      <c r="C31" s="31" t="s">
        <v>213</v>
      </c>
      <c r="D31" s="31" t="s">
        <v>214</v>
      </c>
      <c r="E31" s="31" t="s">
        <v>215</v>
      </c>
      <c r="F31" s="31" t="s">
        <v>216</v>
      </c>
      <c r="G31" s="31" t="s">
        <v>217</v>
      </c>
      <c r="H31" s="31" t="s">
        <v>218</v>
      </c>
      <c r="I31" s="31" t="s">
        <v>219</v>
      </c>
      <c r="J31" s="31" t="s">
        <v>220</v>
      </c>
      <c r="K31" s="31" t="s">
        <v>221</v>
      </c>
      <c r="L31" s="31" t="s">
        <v>222</v>
      </c>
      <c r="M31" s="31" t="s">
        <v>223</v>
      </c>
      <c r="N31" s="31" t="s">
        <v>224</v>
      </c>
      <c r="O31" s="31" t="s">
        <v>225</v>
      </c>
      <c r="P31" s="31" t="s">
        <v>226</v>
      </c>
      <c r="Q31" s="31" t="s">
        <v>227</v>
      </c>
      <c r="R31" s="31" t="s">
        <v>228</v>
      </c>
      <c r="S31" s="31" t="s">
        <v>229</v>
      </c>
      <c r="T31" s="31" t="s">
        <v>230</v>
      </c>
      <c r="U31" s="31" t="s">
        <v>231</v>
      </c>
      <c r="V31" s="31" t="s">
        <v>232</v>
      </c>
      <c r="W31" s="31" t="s">
        <v>233</v>
      </c>
      <c r="X31" s="31" t="s">
        <v>234</v>
      </c>
      <c r="Y31" s="31" t="s">
        <v>235</v>
      </c>
    </row>
    <row r="32" customFormat="false" ht="15" hidden="false" customHeight="false" outlineLevel="0" collapsed="false">
      <c r="A32" s="16"/>
    </row>
    <row r="33" customFormat="false" ht="15" hidden="false" customHeight="false" outlineLevel="0" collapsed="false">
      <c r="A33" s="32" t="s">
        <v>236</v>
      </c>
    </row>
    <row r="34" customFormat="false" ht="15" hidden="false" customHeight="false" outlineLevel="0" collapsed="false">
      <c r="A34" s="16" t="s">
        <v>237</v>
      </c>
      <c r="B34" s="33" t="n">
        <f aca="false">$B$5</f>
        <v>200</v>
      </c>
      <c r="C34" s="33" t="n">
        <f aca="false">ROUND(B34*(1+$B$6),0)</f>
        <v>224</v>
      </c>
      <c r="D34" s="33" t="n">
        <f aca="false">ROUND(C34*(1+$B$6),0)</f>
        <v>251</v>
      </c>
      <c r="E34" s="33" t="n">
        <f aca="false">ROUND(D34*(1+$B$6),0)</f>
        <v>281</v>
      </c>
      <c r="F34" s="33" t="n">
        <f aca="false">ROUND(E34*(1+$B$6),0)</f>
        <v>315</v>
      </c>
      <c r="G34" s="33" t="n">
        <f aca="false">ROUND(F34*(1+$B$6),0)</f>
        <v>353</v>
      </c>
      <c r="H34" s="33" t="n">
        <f aca="false">ROUND(G34*(1+$B$6),0)</f>
        <v>395</v>
      </c>
      <c r="I34" s="33" t="n">
        <f aca="false">ROUND(H34*(1+$B$6),0)</f>
        <v>442</v>
      </c>
      <c r="J34" s="33" t="n">
        <f aca="false">ROUND(I34*(1+$B$6),0)</f>
        <v>495</v>
      </c>
      <c r="K34" s="33" t="n">
        <f aca="false">ROUND(J34*(1+$B$6),0)</f>
        <v>554</v>
      </c>
      <c r="L34" s="33" t="n">
        <f aca="false">ROUND(K34*(1+$B$6),0)</f>
        <v>620</v>
      </c>
      <c r="M34" s="33" t="n">
        <f aca="false">ROUND(L34*(1+$B$6),0)</f>
        <v>694</v>
      </c>
      <c r="N34" s="33" t="n">
        <f aca="false">ROUND(M34*(1+$B$6),0)</f>
        <v>777</v>
      </c>
      <c r="O34" s="33" t="n">
        <f aca="false">ROUND(N34*(1+$B$6),0)</f>
        <v>870</v>
      </c>
      <c r="P34" s="33" t="n">
        <f aca="false">ROUND(O34*(1+$B$6),0)</f>
        <v>974</v>
      </c>
      <c r="Q34" s="33" t="n">
        <f aca="false">ROUND(P34*(1+$B$6),0)</f>
        <v>1091</v>
      </c>
      <c r="R34" s="33" t="n">
        <f aca="false">ROUND(Q34*(1+$B$6),0)</f>
        <v>1222</v>
      </c>
      <c r="S34" s="33" t="n">
        <f aca="false">ROUND(R34*(1+$B$6),0)</f>
        <v>1369</v>
      </c>
      <c r="T34" s="33" t="n">
        <f aca="false">ROUND(S34*(1+$B$6),0)</f>
        <v>1533</v>
      </c>
      <c r="U34" s="33" t="n">
        <f aca="false">ROUND(T34*(1+$B$6),0)</f>
        <v>1717</v>
      </c>
      <c r="V34" s="33" t="n">
        <f aca="false">ROUND(U34*(1+$B$6),0)</f>
        <v>1923</v>
      </c>
      <c r="W34" s="33" t="n">
        <f aca="false">ROUND(V34*(1+$B$6),0)</f>
        <v>2154</v>
      </c>
      <c r="X34" s="33" t="n">
        <f aca="false">ROUND(W34*(1+$B$6),0)</f>
        <v>2412</v>
      </c>
      <c r="Y34" s="33" t="n">
        <f aca="false">ROUND(X34*(1+$B$6),0)</f>
        <v>2701</v>
      </c>
    </row>
    <row r="35" customFormat="false" ht="15" hidden="false" customHeight="false" outlineLevel="0" collapsed="false">
      <c r="A35" s="16" t="s">
        <v>238</v>
      </c>
      <c r="B35" s="33" t="n">
        <f aca="false">ROUND(B34*$B$7,0)</f>
        <v>16</v>
      </c>
      <c r="C35" s="33" t="n">
        <f aca="false">ROUND(C34*$B$7,0)</f>
        <v>18</v>
      </c>
      <c r="D35" s="33" t="n">
        <f aca="false">ROUND(D34*$B$7,0)</f>
        <v>20</v>
      </c>
      <c r="E35" s="33" t="n">
        <f aca="false">ROUND(E34*$B$7,0)</f>
        <v>22</v>
      </c>
      <c r="F35" s="33" t="n">
        <f aca="false">ROUND(F34*$B$7,0)</f>
        <v>25</v>
      </c>
      <c r="G35" s="33" t="n">
        <f aca="false">ROUND(G34*$B$7,0)</f>
        <v>28</v>
      </c>
      <c r="H35" s="33" t="n">
        <f aca="false">ROUND(H34*$B$7,0)</f>
        <v>32</v>
      </c>
      <c r="I35" s="33" t="n">
        <f aca="false">ROUND(I34*$B$7,0)</f>
        <v>35</v>
      </c>
      <c r="J35" s="33" t="n">
        <f aca="false">ROUND(J34*$B$7,0)</f>
        <v>40</v>
      </c>
      <c r="K35" s="33" t="n">
        <f aca="false">ROUND(K34*$B$7,0)</f>
        <v>44</v>
      </c>
      <c r="L35" s="33" t="n">
        <f aca="false">ROUND(L34*$B$7,0)</f>
        <v>50</v>
      </c>
      <c r="M35" s="33" t="n">
        <f aca="false">ROUND(M34*$B$7,0)</f>
        <v>56</v>
      </c>
      <c r="N35" s="33" t="n">
        <f aca="false">ROUND(N34*$B$7,0)</f>
        <v>62</v>
      </c>
      <c r="O35" s="33" t="n">
        <f aca="false">ROUND(O34*$B$7,0)</f>
        <v>70</v>
      </c>
      <c r="P35" s="33" t="n">
        <f aca="false">ROUND(P34*$B$7,0)</f>
        <v>78</v>
      </c>
      <c r="Q35" s="33" t="n">
        <f aca="false">ROUND(Q34*$B$7,0)</f>
        <v>87</v>
      </c>
      <c r="R35" s="33" t="n">
        <f aca="false">ROUND(R34*$B$7,0)</f>
        <v>98</v>
      </c>
      <c r="S35" s="33" t="n">
        <f aca="false">ROUND(S34*$B$7,0)</f>
        <v>110</v>
      </c>
      <c r="T35" s="33" t="n">
        <f aca="false">ROUND(T34*$B$7,0)</f>
        <v>123</v>
      </c>
      <c r="U35" s="33" t="n">
        <f aca="false">ROUND(U34*$B$7,0)</f>
        <v>137</v>
      </c>
      <c r="V35" s="33" t="n">
        <f aca="false">ROUND(V34*$B$7,0)</f>
        <v>154</v>
      </c>
      <c r="W35" s="33" t="n">
        <f aca="false">ROUND(W34*$B$7,0)</f>
        <v>172</v>
      </c>
      <c r="X35" s="33" t="n">
        <f aca="false">ROUND(X34*$B$7,0)</f>
        <v>193</v>
      </c>
      <c r="Y35" s="33" t="n">
        <f aca="false">ROUND(Y34*$B$7,0)</f>
        <v>216</v>
      </c>
    </row>
    <row r="36" customFormat="false" ht="15" hidden="false" customHeight="false" outlineLevel="0" collapsed="false">
      <c r="A36" s="16" t="s">
        <v>239</v>
      </c>
      <c r="B36" s="33" t="n">
        <f aca="false">ROUND(B34*$B$8,0)</f>
        <v>6</v>
      </c>
      <c r="C36" s="33" t="n">
        <f aca="false">ROUND(C34*$B$8,0)</f>
        <v>7</v>
      </c>
      <c r="D36" s="33" t="n">
        <f aca="false">ROUND(D34*$B$8,0)</f>
        <v>8</v>
      </c>
      <c r="E36" s="33" t="n">
        <f aca="false">ROUND(E34*$B$8,0)</f>
        <v>8</v>
      </c>
      <c r="F36" s="33" t="n">
        <f aca="false">ROUND(F34*$B$8,0)</f>
        <v>9</v>
      </c>
      <c r="G36" s="33" t="n">
        <f aca="false">ROUND(G34*$B$8,0)</f>
        <v>11</v>
      </c>
      <c r="H36" s="33" t="n">
        <f aca="false">ROUND(H34*$B$8,0)</f>
        <v>12</v>
      </c>
      <c r="I36" s="33" t="n">
        <f aca="false">ROUND(I34*$B$8,0)</f>
        <v>13</v>
      </c>
      <c r="J36" s="33" t="n">
        <f aca="false">ROUND(J34*$B$8,0)</f>
        <v>15</v>
      </c>
      <c r="K36" s="33" t="n">
        <f aca="false">ROUND(K34*$B$8,0)</f>
        <v>17</v>
      </c>
      <c r="L36" s="33" t="n">
        <f aca="false">ROUND(L34*$B$8,0)</f>
        <v>19</v>
      </c>
      <c r="M36" s="33" t="n">
        <f aca="false">ROUND(M34*$B$8,0)</f>
        <v>21</v>
      </c>
      <c r="N36" s="33" t="n">
        <f aca="false">ROUND(N34*$B$8,0)</f>
        <v>23</v>
      </c>
      <c r="O36" s="33" t="n">
        <f aca="false">ROUND(O34*$B$8,0)</f>
        <v>26</v>
      </c>
      <c r="P36" s="33" t="n">
        <f aca="false">ROUND(P34*$B$8,0)</f>
        <v>29</v>
      </c>
      <c r="Q36" s="33" t="n">
        <f aca="false">ROUND(Q34*$B$8,0)</f>
        <v>33</v>
      </c>
      <c r="R36" s="33" t="n">
        <f aca="false">ROUND(R34*$B$8,0)</f>
        <v>37</v>
      </c>
      <c r="S36" s="33" t="n">
        <f aca="false">ROUND(S34*$B$8,0)</f>
        <v>41</v>
      </c>
      <c r="T36" s="33" t="n">
        <f aca="false">ROUND(T34*$B$8,0)</f>
        <v>46</v>
      </c>
      <c r="U36" s="33" t="n">
        <f aca="false">ROUND(U34*$B$8,0)</f>
        <v>52</v>
      </c>
      <c r="V36" s="33" t="n">
        <f aca="false">ROUND(V34*$B$8,0)</f>
        <v>58</v>
      </c>
      <c r="W36" s="33" t="n">
        <f aca="false">ROUND(W34*$B$8,0)</f>
        <v>65</v>
      </c>
      <c r="X36" s="33" t="n">
        <f aca="false">ROUND(X34*$B$8,0)</f>
        <v>72</v>
      </c>
      <c r="Y36" s="33" t="n">
        <f aca="false">ROUND(Y34*$B$8,0)</f>
        <v>81</v>
      </c>
    </row>
    <row r="37" customFormat="false" ht="15" hidden="false" customHeight="false" outlineLevel="0" collapsed="false">
      <c r="A37" s="16" t="s">
        <v>240</v>
      </c>
      <c r="B37" s="33" t="n">
        <f aca="false">$B$11</f>
        <v>10</v>
      </c>
      <c r="C37" s="33" t="n">
        <f aca="false">ROUND(B37*(1+$B$12),0)</f>
        <v>11</v>
      </c>
      <c r="D37" s="33" t="n">
        <f aca="false">ROUND(C37*(1+$B$12),0)</f>
        <v>12</v>
      </c>
      <c r="E37" s="33" t="n">
        <f aca="false">ROUND(D37*(1+$B$12),0)</f>
        <v>13</v>
      </c>
      <c r="F37" s="33" t="n">
        <f aca="false">ROUND(E37*(1+$B$12),0)</f>
        <v>14</v>
      </c>
      <c r="G37" s="33" t="n">
        <f aca="false">ROUND(F37*(1+$B$12),0)</f>
        <v>15</v>
      </c>
      <c r="H37" s="33" t="n">
        <f aca="false">ROUND(G37*(1+$B$12),0)</f>
        <v>17</v>
      </c>
      <c r="I37" s="33" t="n">
        <f aca="false">ROUND(H37*(1+$B$12),0)</f>
        <v>19</v>
      </c>
      <c r="J37" s="33" t="n">
        <f aca="false">ROUND(I37*(1+$B$12),0)</f>
        <v>21</v>
      </c>
      <c r="K37" s="33" t="n">
        <f aca="false">ROUND(J37*(1+$B$12),0)</f>
        <v>23</v>
      </c>
      <c r="L37" s="33" t="n">
        <f aca="false">ROUND(K37*(1+$B$12),0)</f>
        <v>25</v>
      </c>
      <c r="M37" s="33" t="n">
        <f aca="false">ROUND(L37*(1+$B$12),0)</f>
        <v>28</v>
      </c>
      <c r="N37" s="33" t="n">
        <f aca="false">ROUND(M37*(1+$B$12),0)</f>
        <v>31</v>
      </c>
      <c r="O37" s="33" t="n">
        <f aca="false">ROUND(N37*(1+$B$12),0)</f>
        <v>34</v>
      </c>
      <c r="P37" s="33" t="n">
        <f aca="false">ROUND(O37*(1+$B$12),0)</f>
        <v>37</v>
      </c>
      <c r="Q37" s="33" t="n">
        <f aca="false">ROUND(P37*(1+$B$12),0)</f>
        <v>41</v>
      </c>
      <c r="R37" s="33" t="n">
        <f aca="false">ROUND(Q37*(1+$B$12),0)</f>
        <v>45</v>
      </c>
      <c r="S37" s="33" t="n">
        <f aca="false">ROUND(R37*(1+$B$12),0)</f>
        <v>50</v>
      </c>
      <c r="T37" s="33" t="n">
        <f aca="false">ROUND(S37*(1+$B$12),0)</f>
        <v>55</v>
      </c>
      <c r="U37" s="33" t="n">
        <f aca="false">ROUND(T37*(1+$B$12),0)</f>
        <v>61</v>
      </c>
      <c r="V37" s="33" t="n">
        <f aca="false">ROUND(U37*(1+$B$12),0)</f>
        <v>67</v>
      </c>
      <c r="W37" s="33" t="n">
        <f aca="false">ROUND(V37*(1+$B$12),0)</f>
        <v>74</v>
      </c>
      <c r="X37" s="33" t="n">
        <f aca="false">ROUND(W37*(1+$B$12),0)</f>
        <v>81</v>
      </c>
      <c r="Y37" s="33" t="n">
        <f aca="false">ROUND(X37*(1+$B$12),0)</f>
        <v>89</v>
      </c>
    </row>
    <row r="38" customFormat="false" ht="15" hidden="false" customHeight="false" outlineLevel="0" collapsed="false">
      <c r="A38" s="16" t="s">
        <v>241</v>
      </c>
      <c r="B38" s="33" t="n">
        <f aca="false">$B$13</f>
        <v>3</v>
      </c>
      <c r="C38" s="33" t="n">
        <f aca="false">ROUND(B38*(1+$B$14),0)</f>
        <v>3</v>
      </c>
      <c r="D38" s="33" t="n">
        <f aca="false">ROUND(C38*(1+$B$14),0)</f>
        <v>3</v>
      </c>
      <c r="E38" s="33" t="n">
        <f aca="false">ROUND(D38*(1+$B$14),0)</f>
        <v>3</v>
      </c>
      <c r="F38" s="33" t="n">
        <f aca="false">ROUND(E38*(1+$B$14),0)</f>
        <v>3</v>
      </c>
      <c r="G38" s="33" t="n">
        <f aca="false">ROUND(F38*(1+$B$14),0)</f>
        <v>3</v>
      </c>
      <c r="H38" s="33" t="n">
        <f aca="false">ROUND(G38*(1+$B$14),0)</f>
        <v>3</v>
      </c>
      <c r="I38" s="33" t="n">
        <f aca="false">ROUND(H38*(1+$B$14),0)</f>
        <v>3</v>
      </c>
      <c r="J38" s="33" t="n">
        <f aca="false">ROUND(I38*(1+$B$14),0)</f>
        <v>3</v>
      </c>
      <c r="K38" s="33" t="n">
        <f aca="false">ROUND(J38*(1+$B$14),0)</f>
        <v>3</v>
      </c>
      <c r="L38" s="33" t="n">
        <f aca="false">ROUND(K38*(1+$B$14),0)</f>
        <v>3</v>
      </c>
      <c r="M38" s="33" t="n">
        <f aca="false">ROUND(L38*(1+$B$14),0)</f>
        <v>3</v>
      </c>
      <c r="N38" s="33" t="n">
        <f aca="false">ROUND(M38*(1+$B$14),0)</f>
        <v>3</v>
      </c>
      <c r="O38" s="33" t="n">
        <f aca="false">ROUND(N38*(1+$B$14),0)</f>
        <v>3</v>
      </c>
      <c r="P38" s="33" t="n">
        <f aca="false">ROUND(O38*(1+$B$14),0)</f>
        <v>3</v>
      </c>
      <c r="Q38" s="33" t="n">
        <f aca="false">ROUND(P38*(1+$B$14),0)</f>
        <v>3</v>
      </c>
      <c r="R38" s="33" t="n">
        <f aca="false">ROUND(Q38*(1+$B$14),0)</f>
        <v>3</v>
      </c>
      <c r="S38" s="33" t="n">
        <f aca="false">ROUND(R38*(1+$B$14),0)</f>
        <v>3</v>
      </c>
      <c r="T38" s="33" t="n">
        <f aca="false">ROUND(S38*(1+$B$14),0)</f>
        <v>3</v>
      </c>
      <c r="U38" s="33" t="n">
        <f aca="false">ROUND(T38*(1+$B$14),0)</f>
        <v>3</v>
      </c>
      <c r="V38" s="33" t="n">
        <f aca="false">ROUND(U38*(1+$B$14),0)</f>
        <v>3</v>
      </c>
      <c r="W38" s="33" t="n">
        <f aca="false">ROUND(V38*(1+$B$14),0)</f>
        <v>3</v>
      </c>
      <c r="X38" s="33" t="n">
        <f aca="false">ROUND(W38*(1+$B$14),0)</f>
        <v>3</v>
      </c>
      <c r="Y38" s="33" t="n">
        <f aca="false">ROUND(X38*(1+$B$14),0)</f>
        <v>3</v>
      </c>
    </row>
    <row r="39" customFormat="false" ht="15" hidden="false" customHeight="false" outlineLevel="0" collapsed="false">
      <c r="A39" s="16" t="s">
        <v>242</v>
      </c>
      <c r="B39" s="33" t="n">
        <f aca="false">$B$15</f>
        <v>1</v>
      </c>
      <c r="C39" s="33" t="n">
        <f aca="false">ROUND(B39*(1+$B$16),0)</f>
        <v>1</v>
      </c>
      <c r="D39" s="33" t="n">
        <f aca="false">ROUND(C39*(1+$B$16),0)</f>
        <v>1</v>
      </c>
      <c r="E39" s="33" t="n">
        <f aca="false">ROUND(D39*(1+$B$16),0)</f>
        <v>1</v>
      </c>
      <c r="F39" s="33" t="n">
        <f aca="false">ROUND(E39*(1+$B$16),0)</f>
        <v>1</v>
      </c>
      <c r="G39" s="33" t="n">
        <f aca="false">ROUND(F39*(1+$B$16),0)</f>
        <v>1</v>
      </c>
      <c r="H39" s="33" t="n">
        <f aca="false">ROUND(G39*(1+$B$16),0)</f>
        <v>1</v>
      </c>
      <c r="I39" s="33" t="n">
        <f aca="false">ROUND(H39*(1+$B$16),0)</f>
        <v>1</v>
      </c>
      <c r="J39" s="33" t="n">
        <f aca="false">ROUND(I39*(1+$B$16),0)</f>
        <v>1</v>
      </c>
      <c r="K39" s="33" t="n">
        <f aca="false">ROUND(J39*(1+$B$16),0)</f>
        <v>1</v>
      </c>
      <c r="L39" s="33" t="n">
        <f aca="false">ROUND(K39*(1+$B$16),0)</f>
        <v>1</v>
      </c>
      <c r="M39" s="33" t="n">
        <f aca="false">ROUND(L39*(1+$B$16),0)</f>
        <v>1</v>
      </c>
      <c r="N39" s="33" t="n">
        <f aca="false">ROUND(M39*(1+$B$16),0)</f>
        <v>1</v>
      </c>
      <c r="O39" s="33" t="n">
        <f aca="false">ROUND(N39*(1+$B$16),0)</f>
        <v>1</v>
      </c>
      <c r="P39" s="33" t="n">
        <f aca="false">ROUND(O39*(1+$B$16),0)</f>
        <v>1</v>
      </c>
      <c r="Q39" s="33" t="n">
        <f aca="false">ROUND(P39*(1+$B$16),0)</f>
        <v>1</v>
      </c>
      <c r="R39" s="33" t="n">
        <f aca="false">ROUND(Q39*(1+$B$16),0)</f>
        <v>1</v>
      </c>
      <c r="S39" s="33" t="n">
        <f aca="false">ROUND(R39*(1+$B$16),0)</f>
        <v>1</v>
      </c>
      <c r="T39" s="33" t="n">
        <f aca="false">ROUND(S39*(1+$B$16),0)</f>
        <v>1</v>
      </c>
      <c r="U39" s="33" t="n">
        <f aca="false">ROUND(T39*(1+$B$16),0)</f>
        <v>1</v>
      </c>
      <c r="V39" s="33" t="n">
        <f aca="false">ROUND(U39*(1+$B$16),0)</f>
        <v>1</v>
      </c>
      <c r="W39" s="33" t="n">
        <f aca="false">ROUND(V39*(1+$B$16),0)</f>
        <v>1</v>
      </c>
      <c r="X39" s="33" t="n">
        <f aca="false">ROUND(W39*(1+$B$16),0)</f>
        <v>1</v>
      </c>
      <c r="Y39" s="33" t="n">
        <f aca="false">ROUND(X39*(1+$B$16),0)</f>
        <v>1</v>
      </c>
    </row>
    <row r="40" customFormat="false" ht="15" hidden="false" customHeight="false" outlineLevel="0" collapsed="false">
      <c r="A40" s="16" t="s">
        <v>243</v>
      </c>
      <c r="B40" s="33" t="n">
        <f aca="false">ROUND(B37*$B$21+B38*$B$19*$B$22+B39*$B$20*$B$23,0)</f>
        <v>130</v>
      </c>
      <c r="C40" s="33" t="n">
        <f aca="false">ROUND(C46*$B$21+C47*$B$19*$B$22+C48*$B$20*$B$23,0)</f>
        <v>264</v>
      </c>
      <c r="D40" s="33" t="n">
        <f aca="false">ROUND(D46*$B$21+D47*$B$19*$B$22+D48*$B$20*$B$23,0)</f>
        <v>398</v>
      </c>
      <c r="E40" s="33" t="n">
        <f aca="false">ROUND(E46*$B$21+E47*$B$19*$B$22+E48*$B$20*$B$23,0)</f>
        <v>536</v>
      </c>
      <c r="F40" s="33" t="n">
        <f aca="false">ROUND(F46*$B$21+F47*$B$19*$B$22+F48*$B$20*$B$23,0)</f>
        <v>674</v>
      </c>
      <c r="G40" s="33" t="n">
        <f aca="false">ROUND(G46*$B$21+G47*$B$19*$B$22+G48*$B$20*$B$23,0)</f>
        <v>801</v>
      </c>
      <c r="H40" s="33" t="n">
        <f aca="false">ROUND(H46*$B$21+H47*$B$19*$B$22+H48*$B$20*$B$23,0)</f>
        <v>932</v>
      </c>
      <c r="I40" s="33" t="n">
        <f aca="false">ROUND(I46*$B$21+I47*$B$19*$B$22+I48*$B$20*$B$23,0)</f>
        <v>1071</v>
      </c>
      <c r="J40" s="33" t="n">
        <f aca="false">ROUND(J46*$B$21+J47*$B$19*$B$22+J48*$B$20*$B$23,0)</f>
        <v>1214</v>
      </c>
      <c r="K40" s="33" t="n">
        <f aca="false">ROUND(K46*$B$21+K47*$B$19*$B$22+K48*$B$20*$B$23,0)</f>
        <v>1361</v>
      </c>
      <c r="L40" s="33" t="n">
        <f aca="false">ROUND(L46*$B$21+L47*$B$19*$B$22+L48*$B$20*$B$23,0)</f>
        <v>1516</v>
      </c>
      <c r="M40" s="33" t="n">
        <f aca="false">ROUND(M46*$B$21+M47*$B$19*$B$22+M48*$B$20*$B$23,0)</f>
        <v>1679</v>
      </c>
      <c r="N40" s="33" t="n">
        <f aca="false">ROUND(N46*$B$21+N47*$B$19*$B$22+N48*$B$20*$B$23,0)</f>
        <v>1850</v>
      </c>
      <c r="O40" s="33" t="n">
        <f aca="false">ROUND(O46*$B$21+O47*$B$19*$B$22+O48*$B$20*$B$23,0)</f>
        <v>1984</v>
      </c>
      <c r="P40" s="33" t="n">
        <f aca="false">ROUND(P46*$B$21+P47*$B$19*$B$22+P48*$B$20*$B$23,0)</f>
        <v>2126</v>
      </c>
      <c r="Q40" s="33" t="n">
        <f aca="false">ROUND(Q46*$B$21+Q47*$B$19*$B$22+Q48*$B$20*$B$23,0)</f>
        <v>2280</v>
      </c>
      <c r="R40" s="33" t="n">
        <f aca="false">ROUND(R46*$B$21+R47*$B$19*$B$22+R48*$B$20*$B$23,0)</f>
        <v>2446</v>
      </c>
      <c r="S40" s="33" t="n">
        <f aca="false">ROUND(S46*$B$21+S47*$B$19*$B$22+S48*$B$20*$B$23,0)</f>
        <v>2609</v>
      </c>
      <c r="T40" s="33" t="n">
        <f aca="false">ROUND(T46*$B$21+T47*$B$19*$B$22+T48*$B$20*$B$23,0)</f>
        <v>2788</v>
      </c>
      <c r="U40" s="33" t="n">
        <f aca="false">ROUND(U46*$B$21+U47*$B$19*$B$22+U48*$B$20*$B$23,0)</f>
        <v>2983</v>
      </c>
      <c r="V40" s="33" t="n">
        <f aca="false">ROUND(V46*$B$21+V47*$B$19*$B$22+V48*$B$20*$B$23,0)</f>
        <v>3194</v>
      </c>
      <c r="W40" s="33" t="n">
        <f aca="false">ROUND(W46*$B$21+W47*$B$19*$B$22+W48*$B$20*$B$23,0)</f>
        <v>3425</v>
      </c>
      <c r="X40" s="33" t="n">
        <f aca="false">ROUND(X46*$B$21+X47*$B$19*$B$22+X48*$B$20*$B$23,0)</f>
        <v>3676</v>
      </c>
      <c r="Y40" s="33" t="n">
        <f aca="false">ROUND(Y46*$B$21+Y47*$B$19*$B$22+Y48*$B$20*$B$23,0)</f>
        <v>3951</v>
      </c>
    </row>
    <row r="41" customFormat="false" ht="15" hidden="false" customHeight="false" outlineLevel="0" collapsed="false">
      <c r="A41" s="16"/>
    </row>
    <row r="42" customFormat="false" ht="15" hidden="false" customHeight="false" outlineLevel="0" collapsed="false">
      <c r="A42" s="32" t="s">
        <v>244</v>
      </c>
    </row>
    <row r="43" customFormat="false" ht="15" hidden="false" customHeight="false" outlineLevel="0" collapsed="false">
      <c r="A43" s="16" t="s">
        <v>245</v>
      </c>
      <c r="B43" s="33" t="n">
        <f aca="false">B34+B40</f>
        <v>330</v>
      </c>
      <c r="C43" s="33" t="n">
        <f aca="false">ROUND(B43*(1-$B$9)+C34+C40,0)</f>
        <v>769</v>
      </c>
      <c r="D43" s="33" t="n">
        <f aca="false">ROUND(C43*(1-$B$9)+D34+D40,0)</f>
        <v>1303</v>
      </c>
      <c r="E43" s="33" t="n">
        <f aca="false">ROUND(D43*(1-$B$9)+E34+E40,0)</f>
        <v>1925</v>
      </c>
      <c r="F43" s="33" t="n">
        <f aca="false">ROUND(E43*(1-$B$9)+F34+F40,0)</f>
        <v>2625</v>
      </c>
      <c r="G43" s="33" t="n">
        <f aca="false">ROUND(F43*(1-$B$9)+G34+G40,0)</f>
        <v>3385</v>
      </c>
      <c r="H43" s="33" t="n">
        <f aca="false">ROUND(G43*(1-$B$9)+H34+H40,0)</f>
        <v>4204</v>
      </c>
      <c r="I43" s="33" t="n">
        <f aca="false">ROUND(H43*(1-$B$9)+I34+I40,0)</f>
        <v>5086</v>
      </c>
      <c r="J43" s="33" t="n">
        <f aca="false">ROUND(I43*(1-$B$9)+J34+J40,0)</f>
        <v>6032</v>
      </c>
      <c r="K43" s="33" t="n">
        <f aca="false">ROUND(J43*(1-$B$9)+K34+K40,0)</f>
        <v>7042</v>
      </c>
      <c r="L43" s="33" t="n">
        <f aca="false">ROUND(K43*(1-$B$9)+L34+L40,0)</f>
        <v>8122</v>
      </c>
      <c r="M43" s="33" t="n">
        <f aca="false">ROUND(L43*(1-$B$9)+M34+M40,0)</f>
        <v>9277</v>
      </c>
      <c r="N43" s="33" t="n">
        <f aca="false">ROUND(M43*(1-$B$9)+N34+N40,0)</f>
        <v>10512</v>
      </c>
      <c r="O43" s="33" t="n">
        <f aca="false">ROUND(N43*(1-$B$9)+O34+O40,0)</f>
        <v>11789</v>
      </c>
      <c r="P43" s="33" t="n">
        <f aca="false">ROUND(O43*(1-$B$9)+P34+P40,0)</f>
        <v>13121</v>
      </c>
      <c r="Q43" s="33" t="n">
        <f aca="false">ROUND(P43*(1-$B$9)+Q34+Q40,0)</f>
        <v>14524</v>
      </c>
      <c r="R43" s="33" t="n">
        <f aca="false">ROUND(Q43*(1-$B$9)+R34+R40,0)</f>
        <v>16013</v>
      </c>
      <c r="S43" s="33" t="n">
        <f aca="false">ROUND(R43*(1-$B$9)+S34+S40,0)</f>
        <v>17589</v>
      </c>
      <c r="T43" s="33" t="n">
        <f aca="false">ROUND(S43*(1-$B$9)+T34+T40,0)</f>
        <v>19272</v>
      </c>
      <c r="U43" s="33" t="n">
        <f aca="false">ROUND(T43*(1-$B$9)+U34+U40,0)</f>
        <v>21081</v>
      </c>
      <c r="V43" s="33" t="n">
        <f aca="false">ROUND(U43*(1-$B$9)+V34+V40,0)</f>
        <v>23036</v>
      </c>
      <c r="W43" s="33" t="n">
        <f aca="false">ROUND(V43*(1-$B$9)+W34+W40,0)</f>
        <v>25160</v>
      </c>
      <c r="X43" s="33" t="n">
        <f aca="false">ROUND(W43*(1-$B$9)+X34+X40,0)</f>
        <v>27474</v>
      </c>
      <c r="Y43" s="33" t="n">
        <f aca="false">ROUND(X43*(1-$B$9)+Y34+Y40,0)</f>
        <v>30005</v>
      </c>
    </row>
    <row r="44" customFormat="false" ht="15" hidden="false" customHeight="false" outlineLevel="0" collapsed="false">
      <c r="A44" s="16" t="s">
        <v>246</v>
      </c>
      <c r="B44" s="33" t="n">
        <f aca="false">B35</f>
        <v>16</v>
      </c>
      <c r="C44" s="33" t="n">
        <f aca="false">ROUND(B44*(1-$B$9)+C35,0)</f>
        <v>32</v>
      </c>
      <c r="D44" s="33" t="n">
        <f aca="false">ROUND(C44*(1-$B$9)+D35,0)</f>
        <v>47</v>
      </c>
      <c r="E44" s="33" t="n">
        <f aca="false">ROUND(D44*(1-$B$9)+E35,0)</f>
        <v>62</v>
      </c>
      <c r="F44" s="33" t="n">
        <f aca="false">ROUND(E44*(1-$B$9)+F35,0)</f>
        <v>78</v>
      </c>
      <c r="G44" s="33" t="n">
        <f aca="false">ROUND(F44*(1-$B$9)+G35,0)</f>
        <v>94</v>
      </c>
      <c r="H44" s="33" t="n">
        <f aca="false">ROUND(G44*(1-$B$9)+H35,0)</f>
        <v>112</v>
      </c>
      <c r="I44" s="33" t="n">
        <f aca="false">ROUND(H44*(1-$B$9)+I35,0)</f>
        <v>130</v>
      </c>
      <c r="J44" s="33" t="n">
        <f aca="false">ROUND(I44*(1-$B$9)+J35,0)</f>
        <v>151</v>
      </c>
      <c r="K44" s="33" t="n">
        <f aca="false">ROUND(J44*(1-$B$9)+K35,0)</f>
        <v>172</v>
      </c>
      <c r="L44" s="33" t="n">
        <f aca="false">ROUND(K44*(1-$B$9)+L35,0)</f>
        <v>196</v>
      </c>
      <c r="M44" s="33" t="n">
        <f aca="false">ROUND(L44*(1-$B$9)+M35,0)</f>
        <v>223</v>
      </c>
      <c r="N44" s="33" t="n">
        <f aca="false">ROUND(M44*(1-$B$9)+N35,0)</f>
        <v>252</v>
      </c>
      <c r="O44" s="33" t="n">
        <f aca="false">ROUND(N44*(1-$B$9)+O35,0)</f>
        <v>284</v>
      </c>
      <c r="P44" s="33" t="n">
        <f aca="false">ROUND(O44*(1-$B$9)+P35,0)</f>
        <v>319</v>
      </c>
      <c r="Q44" s="33" t="n">
        <f aca="false">ROUND(P44*(1-$B$9)+Q35,0)</f>
        <v>358</v>
      </c>
      <c r="R44" s="33" t="n">
        <f aca="false">ROUND(Q44*(1-$B$9)+R35,0)</f>
        <v>402</v>
      </c>
      <c r="S44" s="33" t="n">
        <f aca="false">ROUND(R44*(1-$B$9)+S35,0)</f>
        <v>452</v>
      </c>
      <c r="T44" s="33" t="n">
        <f aca="false">ROUND(S44*(1-$B$9)+T35,0)</f>
        <v>507</v>
      </c>
      <c r="U44" s="33" t="n">
        <f aca="false">ROUND(T44*(1-$B$9)+U35,0)</f>
        <v>568</v>
      </c>
      <c r="V44" s="33" t="n">
        <f aca="false">ROUND(U44*(1-$B$9)+V35,0)</f>
        <v>637</v>
      </c>
      <c r="W44" s="33" t="n">
        <f aca="false">ROUND(V44*(1-$B$9)+W35,0)</f>
        <v>713</v>
      </c>
      <c r="X44" s="33" t="n">
        <f aca="false">ROUND(W44*(1-$B$9)+X35,0)</f>
        <v>799</v>
      </c>
      <c r="Y44" s="33" t="n">
        <f aca="false">ROUND(X44*(1-$B$9)+Y35,0)</f>
        <v>895</v>
      </c>
    </row>
    <row r="45" customFormat="false" ht="15" hidden="false" customHeight="false" outlineLevel="0" collapsed="false">
      <c r="A45" s="16" t="s">
        <v>247</v>
      </c>
      <c r="B45" s="33" t="n">
        <f aca="false">B36</f>
        <v>6</v>
      </c>
      <c r="C45" s="33" t="n">
        <f aca="false">ROUND(B45*(1-$B$9)+C36,0)</f>
        <v>12</v>
      </c>
      <c r="D45" s="33" t="n">
        <f aca="false">ROUND(C45*(1-$B$9)+D36,0)</f>
        <v>18</v>
      </c>
      <c r="E45" s="33" t="n">
        <f aca="false">ROUND(D45*(1-$B$9)+E36,0)</f>
        <v>23</v>
      </c>
      <c r="F45" s="33" t="n">
        <f aca="false">ROUND(E45*(1-$B$9)+F36,0)</f>
        <v>29</v>
      </c>
      <c r="G45" s="33" t="n">
        <f aca="false">ROUND(F45*(1-$B$9)+G36,0)</f>
        <v>36</v>
      </c>
      <c r="H45" s="33" t="n">
        <f aca="false">ROUND(G45*(1-$B$9)+H36,0)</f>
        <v>43</v>
      </c>
      <c r="I45" s="33" t="n">
        <f aca="false">ROUND(H45*(1-$B$9)+I36,0)</f>
        <v>50</v>
      </c>
      <c r="J45" s="33" t="n">
        <f aca="false">ROUND(I45*(1-$B$9)+J36,0)</f>
        <v>58</v>
      </c>
      <c r="K45" s="33" t="n">
        <f aca="false">ROUND(J45*(1-$B$9)+K36,0)</f>
        <v>66</v>
      </c>
      <c r="L45" s="33" t="n">
        <f aca="false">ROUND(K45*(1-$B$9)+L36,0)</f>
        <v>75</v>
      </c>
      <c r="M45" s="33" t="n">
        <f aca="false">ROUND(L45*(1-$B$9)+M36,0)</f>
        <v>85</v>
      </c>
      <c r="N45" s="33" t="n">
        <f aca="false">ROUND(M45*(1-$B$9)+N36,0)</f>
        <v>95</v>
      </c>
      <c r="O45" s="33" t="n">
        <f aca="false">ROUND(N45*(1-$B$9)+O36,0)</f>
        <v>107</v>
      </c>
      <c r="P45" s="33" t="n">
        <f aca="false">ROUND(O45*(1-$B$9)+P36,0)</f>
        <v>120</v>
      </c>
      <c r="Q45" s="33" t="n">
        <f aca="false">ROUND(P45*(1-$B$9)+Q36,0)</f>
        <v>135</v>
      </c>
      <c r="R45" s="33" t="n">
        <f aca="false">ROUND(Q45*(1-$B$9)+R36,0)</f>
        <v>152</v>
      </c>
      <c r="S45" s="33" t="n">
        <f aca="false">ROUND(R45*(1-$B$9)+S36,0)</f>
        <v>170</v>
      </c>
      <c r="T45" s="33" t="n">
        <f aca="false">ROUND(S45*(1-$B$9)+T36,0)</f>
        <v>191</v>
      </c>
      <c r="U45" s="33" t="n">
        <f aca="false">ROUND(T45*(1-$B$9)+U36,0)</f>
        <v>214</v>
      </c>
      <c r="V45" s="33" t="n">
        <f aca="false">ROUND(U45*(1-$B$9)+V36,0)</f>
        <v>240</v>
      </c>
      <c r="W45" s="33" t="n">
        <f aca="false">ROUND(V45*(1-$B$9)+W36,0)</f>
        <v>269</v>
      </c>
      <c r="X45" s="33" t="n">
        <f aca="false">ROUND(W45*(1-$B$9)+X36,0)</f>
        <v>301</v>
      </c>
      <c r="Y45" s="33" t="n">
        <f aca="false">ROUND(X45*(1-$B$9)+Y36,0)</f>
        <v>337</v>
      </c>
    </row>
    <row r="46" customFormat="false" ht="15" hidden="false" customHeight="false" outlineLevel="0" collapsed="false">
      <c r="A46" s="16" t="s">
        <v>248</v>
      </c>
      <c r="B46" s="33" t="n">
        <f aca="false">B37</f>
        <v>10</v>
      </c>
      <c r="C46" s="33" t="n">
        <f aca="false">ROUND(B46*(1-$B$17)+C37,0)</f>
        <v>21</v>
      </c>
      <c r="D46" s="33" t="n">
        <f aca="false">ROUND(C46*(1-$B$17)+D37,0)</f>
        <v>32</v>
      </c>
      <c r="E46" s="33" t="n">
        <f aca="false">ROUND(D46*(1-$B$17)+E37,0)</f>
        <v>44</v>
      </c>
      <c r="F46" s="33" t="n">
        <f aca="false">ROUND(E46*(1-$B$17)+F37,0)</f>
        <v>56</v>
      </c>
      <c r="G46" s="33" t="n">
        <f aca="false">ROUND(F46*(1-$B$17)+G37,0)</f>
        <v>69</v>
      </c>
      <c r="H46" s="33" t="n">
        <f aca="false">ROUND(G46*(1-$B$17)+H37,0)</f>
        <v>83</v>
      </c>
      <c r="I46" s="33" t="n">
        <f aca="false">ROUND(H46*(1-$B$17)+I37,0)</f>
        <v>99</v>
      </c>
      <c r="J46" s="33" t="n">
        <f aca="false">ROUND(I46*(1-$B$17)+J37,0)</f>
        <v>116</v>
      </c>
      <c r="K46" s="33" t="n">
        <f aca="false">ROUND(J46*(1-$B$17)+K37,0)</f>
        <v>134</v>
      </c>
      <c r="L46" s="33" t="n">
        <f aca="false">ROUND(K46*(1-$B$17)+L37,0)</f>
        <v>154</v>
      </c>
      <c r="M46" s="33" t="n">
        <f aca="false">ROUND(L46*(1-$B$17)+M37,0)</f>
        <v>176</v>
      </c>
      <c r="N46" s="33" t="n">
        <f aca="false">ROUND(M46*(1-$B$17)+N37,0)</f>
        <v>200</v>
      </c>
      <c r="O46" s="33" t="n">
        <f aca="false">ROUND(N46*(1-$B$17)+O37,0)</f>
        <v>226</v>
      </c>
      <c r="P46" s="33" t="n">
        <f aca="false">ROUND(O46*(1-$B$17)+P37,0)</f>
        <v>254</v>
      </c>
      <c r="Q46" s="33" t="n">
        <f aca="false">ROUND(P46*(1-$B$17)+Q37,0)</f>
        <v>285</v>
      </c>
      <c r="R46" s="33" t="n">
        <f aca="false">ROUND(Q46*(1-$B$17)+R37,0)</f>
        <v>319</v>
      </c>
      <c r="S46" s="33" t="n">
        <f aca="false">ROUND(R46*(1-$B$17)+S37,0)</f>
        <v>356</v>
      </c>
      <c r="T46" s="33" t="n">
        <f aca="false">ROUND(S46*(1-$B$17)+T37,0)</f>
        <v>397</v>
      </c>
      <c r="U46" s="33" t="n">
        <f aca="false">ROUND(T46*(1-$B$17)+U37,0)</f>
        <v>442</v>
      </c>
      <c r="V46" s="33" t="n">
        <f aca="false">ROUND(U46*(1-$B$17)+V37,0)</f>
        <v>491</v>
      </c>
      <c r="W46" s="33" t="n">
        <f aca="false">ROUND(V46*(1-$B$17)+W37,0)</f>
        <v>545</v>
      </c>
      <c r="X46" s="33" t="n">
        <f aca="false">ROUND(W46*(1-$B$17)+X37,0)</f>
        <v>604</v>
      </c>
      <c r="Y46" s="33" t="n">
        <f aca="false">ROUND(X46*(1-$B$17)+Y37,0)</f>
        <v>669</v>
      </c>
    </row>
    <row r="47" customFormat="false" ht="15" hidden="false" customHeight="false" outlineLevel="0" collapsed="false">
      <c r="A47" s="16" t="s">
        <v>249</v>
      </c>
      <c r="B47" s="33" t="n">
        <f aca="false">B38</f>
        <v>3</v>
      </c>
      <c r="C47" s="33" t="n">
        <f aca="false">ROUND(B47*(1-$B$17)+C38,0)</f>
        <v>6</v>
      </c>
      <c r="D47" s="33" t="n">
        <f aca="false">ROUND(C47*(1-$B$17)+D38,0)</f>
        <v>9</v>
      </c>
      <c r="E47" s="33" t="n">
        <f aca="false">ROUND(D47*(1-$B$17)+E38,0)</f>
        <v>12</v>
      </c>
      <c r="F47" s="33" t="n">
        <f aca="false">ROUND(E47*(1-$B$17)+F38,0)</f>
        <v>15</v>
      </c>
      <c r="G47" s="33" t="n">
        <f aca="false">ROUND(F47*(1-$B$17)+G38,0)</f>
        <v>17</v>
      </c>
      <c r="H47" s="33" t="n">
        <f aca="false">ROUND(G47*(1-$B$17)+H38,0)</f>
        <v>19</v>
      </c>
      <c r="I47" s="33" t="n">
        <f aca="false">ROUND(H47*(1-$B$17)+I38,0)</f>
        <v>21</v>
      </c>
      <c r="J47" s="33" t="n">
        <f aca="false">ROUND(I47*(1-$B$17)+J38,0)</f>
        <v>23</v>
      </c>
      <c r="K47" s="33" t="n">
        <f aca="false">ROUND(J47*(1-$B$17)+K38,0)</f>
        <v>25</v>
      </c>
      <c r="L47" s="33" t="n">
        <f aca="false">ROUND(K47*(1-$B$17)+L38,0)</f>
        <v>27</v>
      </c>
      <c r="M47" s="33" t="n">
        <f aca="false">ROUND(L47*(1-$B$17)+M38,0)</f>
        <v>29</v>
      </c>
      <c r="N47" s="33" t="n">
        <f aca="false">ROUND(M47*(1-$B$17)+N38,0)</f>
        <v>31</v>
      </c>
      <c r="O47" s="33" t="n">
        <f aca="false">ROUND(N47*(1-$B$17)+O38,0)</f>
        <v>33</v>
      </c>
      <c r="P47" s="33" t="n">
        <f aca="false">ROUND(O47*(1-$B$17)+P38,0)</f>
        <v>35</v>
      </c>
      <c r="Q47" s="33" t="n">
        <f aca="false">ROUND(P47*(1-$B$17)+Q38,0)</f>
        <v>37</v>
      </c>
      <c r="R47" s="33" t="n">
        <f aca="false">ROUND(Q47*(1-$B$17)+R38,0)</f>
        <v>39</v>
      </c>
      <c r="S47" s="33" t="n">
        <f aca="false">ROUND(R47*(1-$B$17)+S38,0)</f>
        <v>40</v>
      </c>
      <c r="T47" s="33" t="n">
        <f aca="false">ROUND(S47*(1-$B$17)+T38,0)</f>
        <v>41</v>
      </c>
      <c r="U47" s="33" t="n">
        <f aca="false">ROUND(T47*(1-$B$17)+U38,0)</f>
        <v>42</v>
      </c>
      <c r="V47" s="33" t="n">
        <f aca="false">ROUND(U47*(1-$B$17)+V38,0)</f>
        <v>43</v>
      </c>
      <c r="W47" s="33" t="n">
        <f aca="false">ROUND(V47*(1-$B$17)+W38,0)</f>
        <v>44</v>
      </c>
      <c r="X47" s="33" t="n">
        <f aca="false">ROUND(W47*(1-$B$17)+X38,0)</f>
        <v>45</v>
      </c>
      <c r="Y47" s="33" t="n">
        <f aca="false">ROUND(X47*(1-$B$17)+Y38,0)</f>
        <v>46</v>
      </c>
    </row>
    <row r="48" customFormat="false" ht="15" hidden="false" customHeight="false" outlineLevel="0" collapsed="false">
      <c r="A48" s="16" t="s">
        <v>250</v>
      </c>
      <c r="B48" s="33" t="n">
        <f aca="false">B39</f>
        <v>1</v>
      </c>
      <c r="C48" s="33" t="n">
        <f aca="false">ROUND(B48*(1-$B$17)+C39,0)</f>
        <v>2</v>
      </c>
      <c r="D48" s="33" t="n">
        <f aca="false">ROUND(C48*(1-$B$17)+D39,0)</f>
        <v>3</v>
      </c>
      <c r="E48" s="33" t="n">
        <f aca="false">ROUND(D48*(1-$B$17)+E39,0)</f>
        <v>4</v>
      </c>
      <c r="F48" s="33" t="n">
        <f aca="false">ROUND(E48*(1-$B$17)+F39,0)</f>
        <v>5</v>
      </c>
      <c r="G48" s="33" t="n">
        <f aca="false">ROUND(F48*(1-$B$17)+G39,0)</f>
        <v>6</v>
      </c>
      <c r="H48" s="33" t="n">
        <f aca="false">ROUND(G48*(1-$B$17)+H39,0)</f>
        <v>7</v>
      </c>
      <c r="I48" s="33" t="n">
        <f aca="false">ROUND(H48*(1-$B$17)+I39,0)</f>
        <v>8</v>
      </c>
      <c r="J48" s="33" t="n">
        <f aca="false">ROUND(I48*(1-$B$17)+J39,0)</f>
        <v>9</v>
      </c>
      <c r="K48" s="33" t="n">
        <f aca="false">ROUND(J48*(1-$B$17)+K39,0)</f>
        <v>10</v>
      </c>
      <c r="L48" s="33" t="n">
        <f aca="false">ROUND(K48*(1-$B$17)+L39,0)</f>
        <v>11</v>
      </c>
      <c r="M48" s="33" t="n">
        <f aca="false">ROUND(L48*(1-$B$17)+M39,0)</f>
        <v>12</v>
      </c>
      <c r="N48" s="33" t="n">
        <f aca="false">ROUND(M48*(1-$B$17)+N39,0)</f>
        <v>13</v>
      </c>
      <c r="O48" s="33" t="n">
        <f aca="false">ROUND(N48*(1-$B$17)+O39,0)</f>
        <v>13</v>
      </c>
      <c r="P48" s="33" t="n">
        <f aca="false">ROUND(O48*(1-$B$17)+P39,0)</f>
        <v>13</v>
      </c>
      <c r="Q48" s="33" t="n">
        <f aca="false">ROUND(P48*(1-$B$17)+Q39,0)</f>
        <v>13</v>
      </c>
      <c r="R48" s="33" t="n">
        <f aca="false">ROUND(Q48*(1-$B$17)+R39,0)</f>
        <v>13</v>
      </c>
      <c r="S48" s="33" t="n">
        <f aca="false">ROUND(R48*(1-$B$17)+S39,0)</f>
        <v>13</v>
      </c>
      <c r="T48" s="33" t="n">
        <f aca="false">ROUND(S48*(1-$B$17)+T39,0)</f>
        <v>13</v>
      </c>
      <c r="U48" s="33" t="n">
        <f aca="false">ROUND(T48*(1-$B$17)+U39,0)</f>
        <v>13</v>
      </c>
      <c r="V48" s="33" t="n">
        <f aca="false">ROUND(U48*(1-$B$17)+V39,0)</f>
        <v>13</v>
      </c>
      <c r="W48" s="33" t="n">
        <f aca="false">ROUND(V48*(1-$B$17)+W39,0)</f>
        <v>13</v>
      </c>
      <c r="X48" s="33" t="n">
        <f aca="false">ROUND(W48*(1-$B$17)+X39,0)</f>
        <v>13</v>
      </c>
      <c r="Y48" s="33" t="n">
        <f aca="false">ROUND(X48*(1-$B$17)+Y39,0)</f>
        <v>13</v>
      </c>
    </row>
    <row r="49" customFormat="false" ht="15" hidden="false" customHeight="false" outlineLevel="0" collapsed="false">
      <c r="A49" s="16" t="s">
        <v>251</v>
      </c>
      <c r="B49" s="33" t="n">
        <f aca="false">B43+B44+B45</f>
        <v>352</v>
      </c>
      <c r="C49" s="33" t="n">
        <f aca="false">C43+C44+C45</f>
        <v>813</v>
      </c>
      <c r="D49" s="33" t="n">
        <f aca="false">D43+D44+D45</f>
        <v>1368</v>
      </c>
      <c r="E49" s="33" t="n">
        <f aca="false">E43+E44+E45</f>
        <v>2010</v>
      </c>
      <c r="F49" s="33" t="n">
        <f aca="false">F43+F44+F45</f>
        <v>2732</v>
      </c>
      <c r="G49" s="33" t="n">
        <f aca="false">G43+G44+G45</f>
        <v>3515</v>
      </c>
      <c r="H49" s="33" t="n">
        <f aca="false">H43+H44+H45</f>
        <v>4359</v>
      </c>
      <c r="I49" s="33" t="n">
        <f aca="false">I43+I44+I45</f>
        <v>5266</v>
      </c>
      <c r="J49" s="33" t="n">
        <f aca="false">J43+J44+J45</f>
        <v>6241</v>
      </c>
      <c r="K49" s="33" t="n">
        <f aca="false">K43+K44+K45</f>
        <v>7280</v>
      </c>
      <c r="L49" s="33" t="n">
        <f aca="false">L43+L44+L45</f>
        <v>8393</v>
      </c>
      <c r="M49" s="33" t="n">
        <f aca="false">M43+M44+M45</f>
        <v>9585</v>
      </c>
      <c r="N49" s="33" t="n">
        <f aca="false">N43+N44+N45</f>
        <v>10859</v>
      </c>
      <c r="O49" s="33" t="n">
        <f aca="false">O43+O44+O45</f>
        <v>12180</v>
      </c>
      <c r="P49" s="33" t="n">
        <f aca="false">P43+P44+P45</f>
        <v>13560</v>
      </c>
      <c r="Q49" s="33" t="n">
        <f aca="false">Q43+Q44+Q45</f>
        <v>15017</v>
      </c>
      <c r="R49" s="33" t="n">
        <f aca="false">R43+R44+R45</f>
        <v>16567</v>
      </c>
      <c r="S49" s="33" t="n">
        <f aca="false">S43+S44+S45</f>
        <v>18211</v>
      </c>
      <c r="T49" s="33" t="n">
        <f aca="false">T43+T44+T45</f>
        <v>19970</v>
      </c>
      <c r="U49" s="33" t="n">
        <f aca="false">U43+U44+U45</f>
        <v>21863</v>
      </c>
      <c r="V49" s="33" t="n">
        <f aca="false">V43+V44+V45</f>
        <v>23913</v>
      </c>
      <c r="W49" s="33" t="n">
        <f aca="false">W43+W44+W45</f>
        <v>26142</v>
      </c>
      <c r="X49" s="33" t="n">
        <f aca="false">X43+X44+X45</f>
        <v>28574</v>
      </c>
      <c r="Y49" s="33" t="n">
        <f aca="false">Y43+Y44+Y45</f>
        <v>31237</v>
      </c>
    </row>
    <row r="50" customFormat="false" ht="15" hidden="false" customHeight="false" outlineLevel="0" collapsed="false">
      <c r="A50" s="16" t="s">
        <v>252</v>
      </c>
      <c r="B50" s="33" t="n">
        <f aca="false">B46+B47+B48</f>
        <v>14</v>
      </c>
      <c r="C50" s="33" t="n">
        <f aca="false">C46+C47+C48</f>
        <v>29</v>
      </c>
      <c r="D50" s="33" t="n">
        <f aca="false">D46+D47+D48</f>
        <v>44</v>
      </c>
      <c r="E50" s="33" t="n">
        <f aca="false">E46+E47+E48</f>
        <v>60</v>
      </c>
      <c r="F50" s="33" t="n">
        <f aca="false">F46+F47+F48</f>
        <v>76</v>
      </c>
      <c r="G50" s="33" t="n">
        <f aca="false">G46+G47+G48</f>
        <v>92</v>
      </c>
      <c r="H50" s="33" t="n">
        <f aca="false">H46+H47+H48</f>
        <v>109</v>
      </c>
      <c r="I50" s="33" t="n">
        <f aca="false">I46+I47+I48</f>
        <v>128</v>
      </c>
      <c r="J50" s="33" t="n">
        <f aca="false">J46+J47+J48</f>
        <v>148</v>
      </c>
      <c r="K50" s="33" t="n">
        <f aca="false">K46+K47+K48</f>
        <v>169</v>
      </c>
      <c r="L50" s="33" t="n">
        <f aca="false">L46+L47+L48</f>
        <v>192</v>
      </c>
      <c r="M50" s="33" t="n">
        <f aca="false">M46+M47+M48</f>
        <v>217</v>
      </c>
      <c r="N50" s="33" t="n">
        <f aca="false">N46+N47+N48</f>
        <v>244</v>
      </c>
      <c r="O50" s="33" t="n">
        <f aca="false">O46+O47+O48</f>
        <v>272</v>
      </c>
      <c r="P50" s="33" t="n">
        <f aca="false">P46+P47+P48</f>
        <v>302</v>
      </c>
      <c r="Q50" s="33" t="n">
        <f aca="false">Q46+Q47+Q48</f>
        <v>335</v>
      </c>
      <c r="R50" s="33" t="n">
        <f aca="false">R46+R47+R48</f>
        <v>371</v>
      </c>
      <c r="S50" s="33" t="n">
        <f aca="false">S46+S47+S48</f>
        <v>409</v>
      </c>
      <c r="T50" s="33" t="n">
        <f aca="false">T46+T47+T48</f>
        <v>451</v>
      </c>
      <c r="U50" s="33" t="n">
        <f aca="false">U46+U47+U48</f>
        <v>497</v>
      </c>
      <c r="V50" s="33" t="n">
        <f aca="false">V46+V47+V48</f>
        <v>547</v>
      </c>
      <c r="W50" s="33" t="n">
        <f aca="false">W46+W47+W48</f>
        <v>602</v>
      </c>
      <c r="X50" s="33" t="n">
        <f aca="false">X46+X47+X48</f>
        <v>662</v>
      </c>
      <c r="Y50" s="33" t="n">
        <f aca="false">Y46+Y47+Y48</f>
        <v>728</v>
      </c>
    </row>
    <row r="51" customFormat="false" ht="15" hidden="false" customHeight="false" outlineLevel="0" collapsed="false">
      <c r="A51" s="13" t="s">
        <v>253</v>
      </c>
      <c r="B51" s="34" t="n">
        <f aca="false">B49+B50</f>
        <v>366</v>
      </c>
      <c r="C51" s="34" t="n">
        <f aca="false">C49+C50</f>
        <v>842</v>
      </c>
      <c r="D51" s="34" t="n">
        <f aca="false">D49+D50</f>
        <v>1412</v>
      </c>
      <c r="E51" s="34" t="n">
        <f aca="false">E49+E50</f>
        <v>2070</v>
      </c>
      <c r="F51" s="34" t="n">
        <f aca="false">F49+F50</f>
        <v>2808</v>
      </c>
      <c r="G51" s="34" t="n">
        <f aca="false">G49+G50</f>
        <v>3607</v>
      </c>
      <c r="H51" s="34" t="n">
        <f aca="false">H49+H50</f>
        <v>4468</v>
      </c>
      <c r="I51" s="34" t="n">
        <f aca="false">I49+I50</f>
        <v>5394</v>
      </c>
      <c r="J51" s="34" t="n">
        <f aca="false">J49+J50</f>
        <v>6389</v>
      </c>
      <c r="K51" s="34" t="n">
        <f aca="false">K49+K50</f>
        <v>7449</v>
      </c>
      <c r="L51" s="34" t="n">
        <f aca="false">L49+L50</f>
        <v>8585</v>
      </c>
      <c r="M51" s="34" t="n">
        <f aca="false">M49+M50</f>
        <v>9802</v>
      </c>
      <c r="N51" s="34" t="n">
        <f aca="false">N49+N50</f>
        <v>11103</v>
      </c>
      <c r="O51" s="34" t="n">
        <f aca="false">O49+O50</f>
        <v>12452</v>
      </c>
      <c r="P51" s="34" t="n">
        <f aca="false">P49+P50</f>
        <v>13862</v>
      </c>
      <c r="Q51" s="34" t="n">
        <f aca="false">Q49+Q50</f>
        <v>15352</v>
      </c>
      <c r="R51" s="34" t="n">
        <f aca="false">R49+R50</f>
        <v>16938</v>
      </c>
      <c r="S51" s="34" t="n">
        <f aca="false">S49+S50</f>
        <v>18620</v>
      </c>
      <c r="T51" s="34" t="n">
        <f aca="false">T49+T50</f>
        <v>20421</v>
      </c>
      <c r="U51" s="34" t="n">
        <f aca="false">U49+U50</f>
        <v>22360</v>
      </c>
      <c r="V51" s="34" t="n">
        <f aca="false">V49+V50</f>
        <v>24460</v>
      </c>
      <c r="W51" s="34" t="n">
        <f aca="false">W49+W50</f>
        <v>26744</v>
      </c>
      <c r="X51" s="34" t="n">
        <f aca="false">X49+X50</f>
        <v>29236</v>
      </c>
      <c r="Y51" s="34" t="n">
        <f aca="false">Y49+Y50</f>
        <v>31965</v>
      </c>
    </row>
    <row r="52" customFormat="false" ht="15" hidden="false" customHeight="false" outlineLevel="0" collapsed="false">
      <c r="A52" s="16"/>
    </row>
    <row r="53" customFormat="false" ht="15" hidden="false" customHeight="false" outlineLevel="0" collapsed="false">
      <c r="A53" s="32" t="s">
        <v>254</v>
      </c>
    </row>
    <row r="54" customFormat="false" ht="15" hidden="false" customHeight="false" outlineLevel="0" collapsed="false">
      <c r="A54" s="16" t="s">
        <v>255</v>
      </c>
      <c r="B54" s="35" t="n">
        <f aca="false">B35*39</f>
        <v>624</v>
      </c>
      <c r="C54" s="35" t="n">
        <f aca="false">C35*39</f>
        <v>702</v>
      </c>
      <c r="D54" s="35" t="n">
        <f aca="false">D35*39</f>
        <v>780</v>
      </c>
      <c r="E54" s="35" t="n">
        <f aca="false">E35*39</f>
        <v>858</v>
      </c>
      <c r="F54" s="35" t="n">
        <f aca="false">F35*39</f>
        <v>975</v>
      </c>
      <c r="G54" s="35" t="n">
        <f aca="false">G35*39</f>
        <v>1092</v>
      </c>
      <c r="H54" s="35" t="n">
        <f aca="false">H35*39</f>
        <v>1248</v>
      </c>
      <c r="I54" s="35" t="n">
        <f aca="false">I35*39</f>
        <v>1365</v>
      </c>
      <c r="J54" s="35" t="n">
        <f aca="false">J35*39</f>
        <v>1560</v>
      </c>
      <c r="K54" s="35" t="n">
        <f aca="false">K35*39</f>
        <v>1716</v>
      </c>
      <c r="L54" s="35" t="n">
        <f aca="false">L35*39</f>
        <v>1950</v>
      </c>
      <c r="M54" s="35" t="n">
        <f aca="false">M35*39</f>
        <v>2184</v>
      </c>
      <c r="N54" s="35" t="n">
        <f aca="false">N35*39</f>
        <v>2418</v>
      </c>
      <c r="O54" s="35" t="n">
        <f aca="false">O35*39</f>
        <v>2730</v>
      </c>
      <c r="P54" s="35" t="n">
        <f aca="false">P35*39</f>
        <v>3042</v>
      </c>
      <c r="Q54" s="35" t="n">
        <f aca="false">Q35*39</f>
        <v>3393</v>
      </c>
      <c r="R54" s="35" t="n">
        <f aca="false">R35*39</f>
        <v>3822</v>
      </c>
      <c r="S54" s="35" t="n">
        <f aca="false">S35*39</f>
        <v>4290</v>
      </c>
      <c r="T54" s="35" t="n">
        <f aca="false">T35*39</f>
        <v>4797</v>
      </c>
      <c r="U54" s="35" t="n">
        <f aca="false">U35*39</f>
        <v>5343</v>
      </c>
      <c r="V54" s="35" t="n">
        <f aca="false">V35*39</f>
        <v>6006</v>
      </c>
      <c r="W54" s="35" t="n">
        <f aca="false">W35*39</f>
        <v>6708</v>
      </c>
      <c r="X54" s="35" t="n">
        <f aca="false">X35*39</f>
        <v>7527</v>
      </c>
      <c r="Y54" s="35" t="n">
        <f aca="false">Y35*39</f>
        <v>8424</v>
      </c>
    </row>
    <row r="55" customFormat="false" ht="15" hidden="false" customHeight="false" outlineLevel="0" collapsed="false">
      <c r="A55" s="16" t="s">
        <v>256</v>
      </c>
      <c r="B55" s="35" t="n">
        <f aca="false">B36*79</f>
        <v>474</v>
      </c>
      <c r="C55" s="35" t="n">
        <f aca="false">C36*79</f>
        <v>553</v>
      </c>
      <c r="D55" s="35" t="n">
        <f aca="false">D36*79</f>
        <v>632</v>
      </c>
      <c r="E55" s="35" t="n">
        <f aca="false">E36*79</f>
        <v>632</v>
      </c>
      <c r="F55" s="35" t="n">
        <f aca="false">F36*79</f>
        <v>711</v>
      </c>
      <c r="G55" s="35" t="n">
        <f aca="false">G36*79</f>
        <v>869</v>
      </c>
      <c r="H55" s="35" t="n">
        <f aca="false">H36*79</f>
        <v>948</v>
      </c>
      <c r="I55" s="35" t="n">
        <f aca="false">I36*79</f>
        <v>1027</v>
      </c>
      <c r="J55" s="35" t="n">
        <f aca="false">J36*79</f>
        <v>1185</v>
      </c>
      <c r="K55" s="35" t="n">
        <f aca="false">K36*79</f>
        <v>1343</v>
      </c>
      <c r="L55" s="35" t="n">
        <f aca="false">L36*79</f>
        <v>1501</v>
      </c>
      <c r="M55" s="35" t="n">
        <f aca="false">M36*79</f>
        <v>1659</v>
      </c>
      <c r="N55" s="35" t="n">
        <f aca="false">N36*79</f>
        <v>1817</v>
      </c>
      <c r="O55" s="35" t="n">
        <f aca="false">O36*79</f>
        <v>2054</v>
      </c>
      <c r="P55" s="35" t="n">
        <f aca="false">P36*79</f>
        <v>2291</v>
      </c>
      <c r="Q55" s="35" t="n">
        <f aca="false">Q36*79</f>
        <v>2607</v>
      </c>
      <c r="R55" s="35" t="n">
        <f aca="false">R36*79</f>
        <v>2923</v>
      </c>
      <c r="S55" s="35" t="n">
        <f aca="false">S36*79</f>
        <v>3239</v>
      </c>
      <c r="T55" s="35" t="n">
        <f aca="false">T36*79</f>
        <v>3634</v>
      </c>
      <c r="U55" s="35" t="n">
        <f aca="false">U36*79</f>
        <v>4108</v>
      </c>
      <c r="V55" s="35" t="n">
        <f aca="false">V36*79</f>
        <v>4582</v>
      </c>
      <c r="W55" s="35" t="n">
        <f aca="false">W36*79</f>
        <v>5135</v>
      </c>
      <c r="X55" s="35" t="n">
        <f aca="false">X36*79</f>
        <v>5688</v>
      </c>
      <c r="Y55" s="35" t="n">
        <f aca="false">Y36*79</f>
        <v>6399</v>
      </c>
    </row>
    <row r="56" customFormat="false" ht="15" hidden="false" customHeight="false" outlineLevel="0" collapsed="false">
      <c r="A56" s="16" t="s">
        <v>257</v>
      </c>
      <c r="B56" s="35" t="n">
        <f aca="false">B46*59</f>
        <v>590</v>
      </c>
      <c r="C56" s="35" t="n">
        <f aca="false">C46*59</f>
        <v>1239</v>
      </c>
      <c r="D56" s="35" t="n">
        <f aca="false">D46*59</f>
        <v>1888</v>
      </c>
      <c r="E56" s="35" t="n">
        <f aca="false">E46*59</f>
        <v>2596</v>
      </c>
      <c r="F56" s="35" t="n">
        <f aca="false">F46*59</f>
        <v>3304</v>
      </c>
      <c r="G56" s="35" t="n">
        <f aca="false">G46*59</f>
        <v>4071</v>
      </c>
      <c r="H56" s="35" t="n">
        <f aca="false">H46*59</f>
        <v>4897</v>
      </c>
      <c r="I56" s="35" t="n">
        <f aca="false">I46*59</f>
        <v>5841</v>
      </c>
      <c r="J56" s="35" t="n">
        <f aca="false">J46*59</f>
        <v>6844</v>
      </c>
      <c r="K56" s="35" t="n">
        <f aca="false">K46*59</f>
        <v>7906</v>
      </c>
      <c r="L56" s="35" t="n">
        <f aca="false">L46*59</f>
        <v>9086</v>
      </c>
      <c r="M56" s="35" t="n">
        <f aca="false">M46*59</f>
        <v>10384</v>
      </c>
      <c r="N56" s="35" t="n">
        <f aca="false">N46*59</f>
        <v>11800</v>
      </c>
      <c r="O56" s="35" t="n">
        <f aca="false">O46*59</f>
        <v>13334</v>
      </c>
      <c r="P56" s="35" t="n">
        <f aca="false">P46*59</f>
        <v>14986</v>
      </c>
      <c r="Q56" s="35" t="n">
        <f aca="false">Q46*59</f>
        <v>16815</v>
      </c>
      <c r="R56" s="35" t="n">
        <f aca="false">R46*59</f>
        <v>18821</v>
      </c>
      <c r="S56" s="35" t="n">
        <f aca="false">S46*59</f>
        <v>21004</v>
      </c>
      <c r="T56" s="35" t="n">
        <f aca="false">T46*59</f>
        <v>23423</v>
      </c>
      <c r="U56" s="35" t="n">
        <f aca="false">U46*59</f>
        <v>26078</v>
      </c>
      <c r="V56" s="35" t="n">
        <f aca="false">V46*59</f>
        <v>28969</v>
      </c>
      <c r="W56" s="35" t="n">
        <f aca="false">W46*59</f>
        <v>32155</v>
      </c>
      <c r="X56" s="35" t="n">
        <f aca="false">X46*59</f>
        <v>35636</v>
      </c>
      <c r="Y56" s="35" t="n">
        <f aca="false">Y46*59</f>
        <v>39471</v>
      </c>
    </row>
    <row r="57" customFormat="false" ht="15" hidden="false" customHeight="false" outlineLevel="0" collapsed="false">
      <c r="A57" s="16" t="s">
        <v>258</v>
      </c>
      <c r="B57" s="35" t="n">
        <f aca="false">B47*199</f>
        <v>597</v>
      </c>
      <c r="C57" s="35" t="n">
        <f aca="false">C47*199</f>
        <v>1194</v>
      </c>
      <c r="D57" s="35" t="n">
        <f aca="false">D47*199</f>
        <v>1791</v>
      </c>
      <c r="E57" s="35" t="n">
        <f aca="false">E47*199</f>
        <v>2388</v>
      </c>
      <c r="F57" s="35" t="n">
        <f aca="false">F47*199</f>
        <v>2985</v>
      </c>
      <c r="G57" s="35" t="n">
        <f aca="false">G47*199</f>
        <v>3383</v>
      </c>
      <c r="H57" s="35" t="n">
        <f aca="false">H47*199</f>
        <v>3781</v>
      </c>
      <c r="I57" s="35" t="n">
        <f aca="false">I47*199</f>
        <v>4179</v>
      </c>
      <c r="J57" s="35" t="n">
        <f aca="false">J47*199</f>
        <v>4577</v>
      </c>
      <c r="K57" s="35" t="n">
        <f aca="false">K47*199</f>
        <v>4975</v>
      </c>
      <c r="L57" s="35" t="n">
        <f aca="false">L47*199</f>
        <v>5373</v>
      </c>
      <c r="M57" s="35" t="n">
        <f aca="false">M47*199</f>
        <v>5771</v>
      </c>
      <c r="N57" s="35" t="n">
        <f aca="false">N47*199</f>
        <v>6169</v>
      </c>
      <c r="O57" s="35" t="n">
        <f aca="false">O47*199</f>
        <v>6567</v>
      </c>
      <c r="P57" s="35" t="n">
        <f aca="false">P47*199</f>
        <v>6965</v>
      </c>
      <c r="Q57" s="35" t="n">
        <f aca="false">Q47*199</f>
        <v>7363</v>
      </c>
      <c r="R57" s="35" t="n">
        <f aca="false">R47*199</f>
        <v>7761</v>
      </c>
      <c r="S57" s="35" t="n">
        <f aca="false">S47*199</f>
        <v>7960</v>
      </c>
      <c r="T57" s="35" t="n">
        <f aca="false">T47*199</f>
        <v>8159</v>
      </c>
      <c r="U57" s="35" t="n">
        <f aca="false">U47*199</f>
        <v>8358</v>
      </c>
      <c r="V57" s="35" t="n">
        <f aca="false">V47*199</f>
        <v>8557</v>
      </c>
      <c r="W57" s="35" t="n">
        <f aca="false">W47*199</f>
        <v>8756</v>
      </c>
      <c r="X57" s="35" t="n">
        <f aca="false">X47*199</f>
        <v>8955</v>
      </c>
      <c r="Y57" s="35" t="n">
        <f aca="false">Y47*199</f>
        <v>9154</v>
      </c>
    </row>
    <row r="58" customFormat="false" ht="15" hidden="false" customHeight="false" outlineLevel="0" collapsed="false">
      <c r="A58" s="16" t="s">
        <v>259</v>
      </c>
      <c r="B58" s="35" t="n">
        <f aca="false">B48*799</f>
        <v>799</v>
      </c>
      <c r="C58" s="35" t="n">
        <f aca="false">C48*799</f>
        <v>1598</v>
      </c>
      <c r="D58" s="35" t="n">
        <f aca="false">D48*799</f>
        <v>2397</v>
      </c>
      <c r="E58" s="35" t="n">
        <f aca="false">E48*799</f>
        <v>3196</v>
      </c>
      <c r="F58" s="35" t="n">
        <f aca="false">F48*799</f>
        <v>3995</v>
      </c>
      <c r="G58" s="35" t="n">
        <f aca="false">G48*799</f>
        <v>4794</v>
      </c>
      <c r="H58" s="35" t="n">
        <f aca="false">H48*799</f>
        <v>5593</v>
      </c>
      <c r="I58" s="35" t="n">
        <f aca="false">I48*799</f>
        <v>6392</v>
      </c>
      <c r="J58" s="35" t="n">
        <f aca="false">J48*799</f>
        <v>7191</v>
      </c>
      <c r="K58" s="35" t="n">
        <f aca="false">K48*799</f>
        <v>7990</v>
      </c>
      <c r="L58" s="35" t="n">
        <f aca="false">L48*799</f>
        <v>8789</v>
      </c>
      <c r="M58" s="35" t="n">
        <f aca="false">M48*799</f>
        <v>9588</v>
      </c>
      <c r="N58" s="35" t="n">
        <f aca="false">N48*799</f>
        <v>10387</v>
      </c>
      <c r="O58" s="35" t="n">
        <f aca="false">O48*799</f>
        <v>10387</v>
      </c>
      <c r="P58" s="35" t="n">
        <f aca="false">P48*799</f>
        <v>10387</v>
      </c>
      <c r="Q58" s="35" t="n">
        <f aca="false">Q48*799</f>
        <v>10387</v>
      </c>
      <c r="R58" s="35" t="n">
        <f aca="false">R48*799</f>
        <v>10387</v>
      </c>
      <c r="S58" s="35" t="n">
        <f aca="false">S48*799</f>
        <v>10387</v>
      </c>
      <c r="T58" s="35" t="n">
        <f aca="false">T48*799</f>
        <v>10387</v>
      </c>
      <c r="U58" s="35" t="n">
        <f aca="false">U48*799</f>
        <v>10387</v>
      </c>
      <c r="V58" s="35" t="n">
        <f aca="false">V48*799</f>
        <v>10387</v>
      </c>
      <c r="W58" s="35" t="n">
        <f aca="false">W48*799</f>
        <v>10387</v>
      </c>
      <c r="X58" s="35" t="n">
        <f aca="false">X48*799</f>
        <v>10387</v>
      </c>
      <c r="Y58" s="35" t="n">
        <f aca="false">Y48*799</f>
        <v>10387</v>
      </c>
    </row>
    <row r="59" customFormat="false" ht="15" hidden="false" customHeight="false" outlineLevel="0" collapsed="false">
      <c r="A59" s="16" t="s">
        <v>260</v>
      </c>
      <c r="B59" s="35" t="n">
        <f aca="false">ROUND((B44+B45)*$B$25*$B$26*$B$27,0)</f>
        <v>46</v>
      </c>
      <c r="C59" s="35" t="n">
        <f aca="false">ROUND((C44+C45)*$B$25*$B$26*$B$27,0)</f>
        <v>92</v>
      </c>
      <c r="D59" s="35" t="n">
        <f aca="false">ROUND((D44+D45)*$B$25*$B$26*$B$27,0)</f>
        <v>137</v>
      </c>
      <c r="E59" s="35" t="n">
        <f aca="false">ROUND((E44+E45)*$B$25*$B$26*$B$27,0)</f>
        <v>179</v>
      </c>
      <c r="F59" s="35" t="n">
        <f aca="false">ROUND((F44+F45)*$B$25*$B$26*$B$27,0)</f>
        <v>225</v>
      </c>
      <c r="G59" s="35" t="n">
        <f aca="false">ROUND((G44+G45)*$B$25*$B$26*$B$27,0)</f>
        <v>273</v>
      </c>
      <c r="H59" s="35" t="n">
        <f aca="false">ROUND((H44+H45)*$B$25*$B$26*$B$27,0)</f>
        <v>326</v>
      </c>
      <c r="I59" s="35" t="n">
        <f aca="false">ROUND((I44+I45)*$B$25*$B$26*$B$27,0)</f>
        <v>378</v>
      </c>
      <c r="J59" s="35" t="n">
        <f aca="false">ROUND((J44+J45)*$B$25*$B$26*$B$27,0)</f>
        <v>439</v>
      </c>
      <c r="K59" s="35" t="n">
        <f aca="false">ROUND((K44+K45)*$B$25*$B$26*$B$27,0)</f>
        <v>500</v>
      </c>
      <c r="L59" s="35" t="n">
        <f aca="false">ROUND((L44+L45)*$B$25*$B$26*$B$27,0)</f>
        <v>569</v>
      </c>
      <c r="M59" s="35" t="n">
        <f aca="false">ROUND((M44+M45)*$B$25*$B$26*$B$27,0)</f>
        <v>647</v>
      </c>
      <c r="N59" s="35" t="n">
        <f aca="false">ROUND((N44+N45)*$B$25*$B$26*$B$27,0)</f>
        <v>729</v>
      </c>
      <c r="O59" s="35" t="n">
        <f aca="false">ROUND((O44+O45)*$B$25*$B$26*$B$27,0)</f>
        <v>821</v>
      </c>
      <c r="P59" s="35" t="n">
        <f aca="false">ROUND((P44+P45)*$B$25*$B$26*$B$27,0)</f>
        <v>922</v>
      </c>
      <c r="Q59" s="35" t="n">
        <f aca="false">ROUND((Q44+Q45)*$B$25*$B$26*$B$27,0)</f>
        <v>1035</v>
      </c>
      <c r="R59" s="35" t="n">
        <f aca="false">ROUND((R44+R45)*$B$25*$B$26*$B$27,0)</f>
        <v>1163</v>
      </c>
      <c r="S59" s="35" t="n">
        <f aca="false">ROUND((S44+S45)*$B$25*$B$26*$B$27,0)</f>
        <v>1306</v>
      </c>
      <c r="T59" s="35" t="n">
        <f aca="false">ROUND((T44+T45)*$B$25*$B$26*$B$27,0)</f>
        <v>1466</v>
      </c>
      <c r="U59" s="35" t="n">
        <f aca="false">ROUND((U44+U45)*$B$25*$B$26*$B$27,0)</f>
        <v>1642</v>
      </c>
      <c r="V59" s="35" t="n">
        <f aca="false">ROUND((V44+V45)*$B$25*$B$26*$B$27,0)</f>
        <v>1842</v>
      </c>
      <c r="W59" s="35" t="n">
        <f aca="false">ROUND((W44+W45)*$B$25*$B$26*$B$27,0)</f>
        <v>2062</v>
      </c>
      <c r="X59" s="35" t="n">
        <f aca="false">ROUND((X44+X45)*$B$25*$B$26*$B$27,0)</f>
        <v>2310</v>
      </c>
      <c r="Y59" s="35" t="n">
        <f aca="false">ROUND((Y44+Y45)*$B$25*$B$26*$B$27,0)</f>
        <v>2587</v>
      </c>
    </row>
    <row r="60" customFormat="false" ht="15" hidden="false" customHeight="false" outlineLevel="0" collapsed="false">
      <c r="A60" s="13" t="s">
        <v>261</v>
      </c>
      <c r="B60" s="36" t="n">
        <f aca="false">SUM(B54:B59)</f>
        <v>3130</v>
      </c>
      <c r="C60" s="36" t="n">
        <f aca="false">SUM(C54:C59)</f>
        <v>5378</v>
      </c>
      <c r="D60" s="36" t="n">
        <f aca="false">SUM(D54:D59)</f>
        <v>7625</v>
      </c>
      <c r="E60" s="36" t="n">
        <f aca="false">SUM(E54:E59)</f>
        <v>9849</v>
      </c>
      <c r="F60" s="36" t="n">
        <f aca="false">SUM(F54:F59)</f>
        <v>12195</v>
      </c>
      <c r="G60" s="36" t="n">
        <f aca="false">SUM(G54:G59)</f>
        <v>14482</v>
      </c>
      <c r="H60" s="36" t="n">
        <f aca="false">SUM(H54:H59)</f>
        <v>16793</v>
      </c>
      <c r="I60" s="36" t="n">
        <f aca="false">SUM(I54:I59)</f>
        <v>19182</v>
      </c>
      <c r="J60" s="36" t="n">
        <f aca="false">SUM(J54:J59)</f>
        <v>21796</v>
      </c>
      <c r="K60" s="36" t="n">
        <f aca="false">SUM(K54:K59)</f>
        <v>24430</v>
      </c>
      <c r="L60" s="36" t="n">
        <f aca="false">SUM(L54:L59)</f>
        <v>27268</v>
      </c>
      <c r="M60" s="36" t="n">
        <f aca="false">SUM(M54:M59)</f>
        <v>30233</v>
      </c>
      <c r="N60" s="36" t="n">
        <f aca="false">SUM(N54:N59)</f>
        <v>33320</v>
      </c>
      <c r="O60" s="36" t="n">
        <f aca="false">SUM(O54:O59)</f>
        <v>35893</v>
      </c>
      <c r="P60" s="36" t="n">
        <f aca="false">SUM(P54:P59)</f>
        <v>38593</v>
      </c>
      <c r="Q60" s="36" t="n">
        <f aca="false">SUM(Q54:Q59)</f>
        <v>41600</v>
      </c>
      <c r="R60" s="36" t="n">
        <f aca="false">SUM(R54:R59)</f>
        <v>44877</v>
      </c>
      <c r="S60" s="36" t="n">
        <f aca="false">SUM(S54:S59)</f>
        <v>48186</v>
      </c>
      <c r="T60" s="36" t="n">
        <f aca="false">SUM(T54:T59)</f>
        <v>51866</v>
      </c>
      <c r="U60" s="36" t="n">
        <f aca="false">SUM(U54:U59)</f>
        <v>55916</v>
      </c>
      <c r="V60" s="36" t="n">
        <f aca="false">SUM(V54:V59)</f>
        <v>60343</v>
      </c>
      <c r="W60" s="36" t="n">
        <f aca="false">SUM(W54:W59)</f>
        <v>65203</v>
      </c>
      <c r="X60" s="36" t="n">
        <f aca="false">SUM(X54:X59)</f>
        <v>70503</v>
      </c>
      <c r="Y60" s="36" t="n">
        <f aca="false">SUM(Y54:Y59)</f>
        <v>76422</v>
      </c>
    </row>
    <row r="61" customFormat="false" ht="15" hidden="false" customHeight="false" outlineLevel="0" collapsed="false">
      <c r="A61" s="16"/>
    </row>
    <row r="62" customFormat="false" ht="15" hidden="false" customHeight="false" outlineLevel="0" collapsed="false">
      <c r="A62" s="32" t="s">
        <v>262</v>
      </c>
      <c r="B62" s="35" t="n">
        <f aca="false">ROUND(B43*0.67,0)</f>
        <v>221</v>
      </c>
      <c r="C62" s="35" t="n">
        <f aca="false">ROUND(C43*0.67,0)</f>
        <v>515</v>
      </c>
      <c r="D62" s="35" t="n">
        <f aca="false">ROUND(D43*0.67,0)</f>
        <v>873</v>
      </c>
      <c r="E62" s="35" t="n">
        <f aca="false">ROUND(E43*0.67,0)</f>
        <v>1290</v>
      </c>
      <c r="F62" s="35" t="n">
        <f aca="false">ROUND(F43*0.67,0)</f>
        <v>1759</v>
      </c>
      <c r="G62" s="35" t="n">
        <f aca="false">ROUND(G43*0.67,0)</f>
        <v>2268</v>
      </c>
      <c r="H62" s="35" t="n">
        <f aca="false">ROUND(H43*0.67,0)</f>
        <v>2817</v>
      </c>
      <c r="I62" s="35" t="n">
        <f aca="false">ROUND(I43*0.67,0)</f>
        <v>3408</v>
      </c>
      <c r="J62" s="35" t="n">
        <f aca="false">ROUND(J43*0.67,0)</f>
        <v>4041</v>
      </c>
      <c r="K62" s="35" t="n">
        <f aca="false">ROUND(K43*0.67,0)</f>
        <v>4718</v>
      </c>
      <c r="L62" s="35" t="n">
        <f aca="false">ROUND(L43*0.67,0)</f>
        <v>5442</v>
      </c>
      <c r="M62" s="35" t="n">
        <f aca="false">ROUND(M43*0.67,0)</f>
        <v>6216</v>
      </c>
      <c r="N62" s="35" t="n">
        <f aca="false">ROUND(N43*0.67,0)</f>
        <v>7043</v>
      </c>
      <c r="O62" s="35" t="n">
        <f aca="false">ROUND(O43*0.67,0)</f>
        <v>7899</v>
      </c>
      <c r="P62" s="35" t="n">
        <f aca="false">ROUND(P43*0.67,0)</f>
        <v>8791</v>
      </c>
      <c r="Q62" s="35" t="n">
        <f aca="false">ROUND(Q43*0.67,0)</f>
        <v>9731</v>
      </c>
      <c r="R62" s="35" t="n">
        <f aca="false">ROUND(R43*0.67,0)</f>
        <v>10729</v>
      </c>
      <c r="S62" s="35" t="n">
        <f aca="false">ROUND(S43*0.67,0)</f>
        <v>11785</v>
      </c>
      <c r="T62" s="35" t="n">
        <f aca="false">ROUND(T43*0.67,0)</f>
        <v>12912</v>
      </c>
      <c r="U62" s="35" t="n">
        <f aca="false">ROUND(U43*0.67,0)</f>
        <v>14124</v>
      </c>
      <c r="V62" s="35" t="n">
        <f aca="false">ROUND(V43*0.67,0)</f>
        <v>15434</v>
      </c>
      <c r="W62" s="35" t="n">
        <f aca="false">ROUND(W43*0.67,0)</f>
        <v>16857</v>
      </c>
      <c r="X62" s="35" t="n">
        <f aca="false">ROUND(X43*0.67,0)</f>
        <v>18408</v>
      </c>
      <c r="Y62" s="35" t="n">
        <f aca="false">ROUND(Y43*0.67,0)</f>
        <v>20103</v>
      </c>
    </row>
    <row r="63" customFormat="false" ht="15" hidden="false" customHeight="false" outlineLevel="0" collapsed="false">
      <c r="A63" s="16" t="s">
        <v>263</v>
      </c>
      <c r="B63" s="35" t="n">
        <f aca="false">ROUND(B44*1.68,0)</f>
        <v>27</v>
      </c>
      <c r="C63" s="35" t="n">
        <f aca="false">ROUND(C44*1.68,0)</f>
        <v>54</v>
      </c>
      <c r="D63" s="35" t="n">
        <f aca="false">ROUND(D44*1.68,0)</f>
        <v>79</v>
      </c>
      <c r="E63" s="35" t="n">
        <f aca="false">ROUND(E44*1.68,0)</f>
        <v>104</v>
      </c>
      <c r="F63" s="35" t="n">
        <f aca="false">ROUND(F44*1.68,0)</f>
        <v>131</v>
      </c>
      <c r="G63" s="35" t="n">
        <f aca="false">ROUND(G44*1.68,0)</f>
        <v>158</v>
      </c>
      <c r="H63" s="35" t="n">
        <f aca="false">ROUND(H44*1.68,0)</f>
        <v>188</v>
      </c>
      <c r="I63" s="35" t="n">
        <f aca="false">ROUND(I44*1.68,0)</f>
        <v>218</v>
      </c>
      <c r="J63" s="35" t="n">
        <f aca="false">ROUND(J44*1.68,0)</f>
        <v>254</v>
      </c>
      <c r="K63" s="35" t="n">
        <f aca="false">ROUND(K44*1.68,0)</f>
        <v>289</v>
      </c>
      <c r="L63" s="35" t="n">
        <f aca="false">ROUND(L44*1.68,0)</f>
        <v>329</v>
      </c>
      <c r="M63" s="35" t="n">
        <f aca="false">ROUND(M44*1.68,0)</f>
        <v>375</v>
      </c>
      <c r="N63" s="35" t="n">
        <f aca="false">ROUND(N44*1.68,0)</f>
        <v>423</v>
      </c>
      <c r="O63" s="35" t="n">
        <f aca="false">ROUND(O44*1.68,0)</f>
        <v>477</v>
      </c>
      <c r="P63" s="35" t="n">
        <f aca="false">ROUND(P44*1.68,0)</f>
        <v>536</v>
      </c>
      <c r="Q63" s="35" t="n">
        <f aca="false">ROUND(Q44*1.68,0)</f>
        <v>601</v>
      </c>
      <c r="R63" s="35" t="n">
        <f aca="false">ROUND(R44*1.68,0)</f>
        <v>675</v>
      </c>
      <c r="S63" s="35" t="n">
        <f aca="false">ROUND(S44*1.68,0)</f>
        <v>759</v>
      </c>
      <c r="T63" s="35" t="n">
        <f aca="false">ROUND(T44*1.68,0)</f>
        <v>852</v>
      </c>
      <c r="U63" s="35" t="n">
        <f aca="false">ROUND(U44*1.68,0)</f>
        <v>954</v>
      </c>
      <c r="V63" s="35" t="n">
        <f aca="false">ROUND(V44*1.68,0)</f>
        <v>1070</v>
      </c>
      <c r="W63" s="35" t="n">
        <f aca="false">ROUND(W44*1.68,0)</f>
        <v>1198</v>
      </c>
      <c r="X63" s="35" t="n">
        <f aca="false">ROUND(X44*1.68,0)</f>
        <v>1342</v>
      </c>
      <c r="Y63" s="35" t="n">
        <f aca="false">ROUND(Y44*1.68,0)</f>
        <v>1504</v>
      </c>
    </row>
    <row r="64" customFormat="false" ht="15" hidden="false" customHeight="false" outlineLevel="0" collapsed="false">
      <c r="A64" s="16" t="s">
        <v>264</v>
      </c>
      <c r="B64" s="35" t="n">
        <f aca="false">ROUND(B45*3.69,0)</f>
        <v>22</v>
      </c>
      <c r="C64" s="35" t="n">
        <f aca="false">ROUND(C45*3.69,0)</f>
        <v>44</v>
      </c>
      <c r="D64" s="35" t="n">
        <f aca="false">ROUND(D45*3.69,0)</f>
        <v>66</v>
      </c>
      <c r="E64" s="35" t="n">
        <f aca="false">ROUND(E45*3.69,0)</f>
        <v>85</v>
      </c>
      <c r="F64" s="35" t="n">
        <f aca="false">ROUND(F45*3.69,0)</f>
        <v>107</v>
      </c>
      <c r="G64" s="35" t="n">
        <f aca="false">ROUND(G45*3.69,0)</f>
        <v>133</v>
      </c>
      <c r="H64" s="35" t="n">
        <f aca="false">ROUND(H45*3.69,0)</f>
        <v>159</v>
      </c>
      <c r="I64" s="35" t="n">
        <f aca="false">ROUND(I45*3.69,0)</f>
        <v>185</v>
      </c>
      <c r="J64" s="35" t="n">
        <f aca="false">ROUND(J45*3.69,0)</f>
        <v>214</v>
      </c>
      <c r="K64" s="35" t="n">
        <f aca="false">ROUND(K45*3.69,0)</f>
        <v>244</v>
      </c>
      <c r="L64" s="35" t="n">
        <f aca="false">ROUND(L45*3.69,0)</f>
        <v>277</v>
      </c>
      <c r="M64" s="35" t="n">
        <f aca="false">ROUND(M45*3.69,0)</f>
        <v>314</v>
      </c>
      <c r="N64" s="35" t="n">
        <f aca="false">ROUND(N45*3.69,0)</f>
        <v>351</v>
      </c>
      <c r="O64" s="35" t="n">
        <f aca="false">ROUND(O45*3.69,0)</f>
        <v>395</v>
      </c>
      <c r="P64" s="35" t="n">
        <f aca="false">ROUND(P45*3.69,0)</f>
        <v>443</v>
      </c>
      <c r="Q64" s="35" t="n">
        <f aca="false">ROUND(Q45*3.69,0)</f>
        <v>498</v>
      </c>
      <c r="R64" s="35" t="n">
        <f aca="false">ROUND(R45*3.69,0)</f>
        <v>561</v>
      </c>
      <c r="S64" s="35" t="n">
        <f aca="false">ROUND(S45*3.69,0)</f>
        <v>627</v>
      </c>
      <c r="T64" s="35" t="n">
        <f aca="false">ROUND(T45*3.69,0)</f>
        <v>705</v>
      </c>
      <c r="U64" s="35" t="n">
        <f aca="false">ROUND(U45*3.69,0)</f>
        <v>790</v>
      </c>
      <c r="V64" s="35" t="n">
        <f aca="false">ROUND(V45*3.69,0)</f>
        <v>886</v>
      </c>
      <c r="W64" s="35" t="n">
        <f aca="false">ROUND(W45*3.69,0)</f>
        <v>993</v>
      </c>
      <c r="X64" s="35" t="n">
        <f aca="false">ROUND(X45*3.69,0)</f>
        <v>1111</v>
      </c>
      <c r="Y64" s="35" t="n">
        <f aca="false">ROUND(Y45*3.69,0)</f>
        <v>1244</v>
      </c>
    </row>
    <row r="65" customFormat="false" ht="15" hidden="false" customHeight="false" outlineLevel="0" collapsed="false">
      <c r="A65" s="16" t="s">
        <v>265</v>
      </c>
      <c r="B65" s="35" t="n">
        <f aca="false">ROUND(B46*4.2,0)</f>
        <v>42</v>
      </c>
      <c r="C65" s="35" t="n">
        <f aca="false">ROUND(C46*4.2,0)</f>
        <v>88</v>
      </c>
      <c r="D65" s="35" t="n">
        <f aca="false">ROUND(D46*4.2,0)</f>
        <v>134</v>
      </c>
      <c r="E65" s="35" t="n">
        <f aca="false">ROUND(E46*4.2,0)</f>
        <v>185</v>
      </c>
      <c r="F65" s="35" t="n">
        <f aca="false">ROUND(F46*4.2,0)</f>
        <v>235</v>
      </c>
      <c r="G65" s="35" t="n">
        <f aca="false">ROUND(G46*4.2,0)</f>
        <v>290</v>
      </c>
      <c r="H65" s="35" t="n">
        <f aca="false">ROUND(H46*4.2,0)</f>
        <v>349</v>
      </c>
      <c r="I65" s="35" t="n">
        <f aca="false">ROUND(I46*4.2,0)</f>
        <v>416</v>
      </c>
      <c r="J65" s="35" t="n">
        <f aca="false">ROUND(J46*4.2,0)</f>
        <v>487</v>
      </c>
      <c r="K65" s="35" t="n">
        <f aca="false">ROUND(K46*4.2,0)</f>
        <v>563</v>
      </c>
      <c r="L65" s="35" t="n">
        <f aca="false">ROUND(L46*4.2,0)</f>
        <v>647</v>
      </c>
      <c r="M65" s="35" t="n">
        <f aca="false">ROUND(M46*4.2,0)</f>
        <v>739</v>
      </c>
      <c r="N65" s="35" t="n">
        <f aca="false">ROUND(N46*4.2,0)</f>
        <v>840</v>
      </c>
      <c r="O65" s="35" t="n">
        <f aca="false">ROUND(O46*4.2,0)</f>
        <v>949</v>
      </c>
      <c r="P65" s="35" t="n">
        <f aca="false">ROUND(P46*4.2,0)</f>
        <v>1067</v>
      </c>
      <c r="Q65" s="35" t="n">
        <f aca="false">ROUND(Q46*4.2,0)</f>
        <v>1197</v>
      </c>
      <c r="R65" s="35" t="n">
        <f aca="false">ROUND(R46*4.2,0)</f>
        <v>1340</v>
      </c>
      <c r="S65" s="35" t="n">
        <f aca="false">ROUND(S46*4.2,0)</f>
        <v>1495</v>
      </c>
      <c r="T65" s="35" t="n">
        <f aca="false">ROUND(T46*4.2,0)</f>
        <v>1667</v>
      </c>
      <c r="U65" s="35" t="n">
        <f aca="false">ROUND(U46*4.2,0)</f>
        <v>1856</v>
      </c>
      <c r="V65" s="35" t="n">
        <f aca="false">ROUND(V46*4.2,0)</f>
        <v>2062</v>
      </c>
      <c r="W65" s="35" t="n">
        <f aca="false">ROUND(W46*4.2,0)</f>
        <v>2289</v>
      </c>
      <c r="X65" s="35" t="n">
        <f aca="false">ROUND(X46*4.2,0)</f>
        <v>2537</v>
      </c>
      <c r="Y65" s="35" t="n">
        <f aca="false">ROUND(Y46*4.2,0)</f>
        <v>2810</v>
      </c>
    </row>
    <row r="66" customFormat="false" ht="15" hidden="false" customHeight="false" outlineLevel="0" collapsed="false">
      <c r="A66" s="16" t="s">
        <v>266</v>
      </c>
      <c r="B66" s="35" t="n">
        <f aca="false">ROUND(B47*$B$19*5.36,0)</f>
        <v>80</v>
      </c>
      <c r="C66" s="35" t="n">
        <f aca="false">ROUND(C47*$B$19*5.36,0)</f>
        <v>161</v>
      </c>
      <c r="D66" s="35" t="n">
        <f aca="false">ROUND(D47*$B$19*5.36,0)</f>
        <v>241</v>
      </c>
      <c r="E66" s="35" t="n">
        <f aca="false">ROUND(E47*$B$19*5.36,0)</f>
        <v>322</v>
      </c>
      <c r="F66" s="35" t="n">
        <f aca="false">ROUND(F47*$B$19*5.36,0)</f>
        <v>402</v>
      </c>
      <c r="G66" s="35" t="n">
        <f aca="false">ROUND(G47*$B$19*5.36,0)</f>
        <v>456</v>
      </c>
      <c r="H66" s="35" t="n">
        <f aca="false">ROUND(H47*$B$19*5.36,0)</f>
        <v>509</v>
      </c>
      <c r="I66" s="35" t="n">
        <f aca="false">ROUND(I47*$B$19*5.36,0)</f>
        <v>563</v>
      </c>
      <c r="J66" s="35" t="n">
        <f aca="false">ROUND(J47*$B$19*5.36,0)</f>
        <v>616</v>
      </c>
      <c r="K66" s="35" t="n">
        <f aca="false">ROUND(K47*$B$19*5.36,0)</f>
        <v>670</v>
      </c>
      <c r="L66" s="35" t="n">
        <f aca="false">ROUND(L47*$B$19*5.36,0)</f>
        <v>724</v>
      </c>
      <c r="M66" s="35" t="n">
        <f aca="false">ROUND(M47*$B$19*5.36,0)</f>
        <v>777</v>
      </c>
      <c r="N66" s="35" t="n">
        <f aca="false">ROUND(N47*$B$19*5.36,0)</f>
        <v>831</v>
      </c>
      <c r="O66" s="35" t="n">
        <f aca="false">ROUND(O47*$B$19*5.36,0)</f>
        <v>884</v>
      </c>
      <c r="P66" s="35" t="n">
        <f aca="false">ROUND(P47*$B$19*5.36,0)</f>
        <v>938</v>
      </c>
      <c r="Q66" s="35" t="n">
        <f aca="false">ROUND(Q47*$B$19*5.36,0)</f>
        <v>992</v>
      </c>
      <c r="R66" s="35" t="n">
        <f aca="false">ROUND(R47*$B$19*5.36,0)</f>
        <v>1045</v>
      </c>
      <c r="S66" s="35" t="n">
        <f aca="false">ROUND(S47*$B$19*5.36,0)</f>
        <v>1072</v>
      </c>
      <c r="T66" s="35" t="n">
        <f aca="false">ROUND(T47*$B$19*5.36,0)</f>
        <v>1099</v>
      </c>
      <c r="U66" s="35" t="n">
        <f aca="false">ROUND(U47*$B$19*5.36,0)</f>
        <v>1126</v>
      </c>
      <c r="V66" s="35" t="n">
        <f aca="false">ROUND(V47*$B$19*5.36,0)</f>
        <v>1152</v>
      </c>
      <c r="W66" s="35" t="n">
        <f aca="false">ROUND(W47*$B$19*5.36,0)</f>
        <v>1179</v>
      </c>
      <c r="X66" s="35" t="n">
        <f aca="false">ROUND(X47*$B$19*5.36,0)</f>
        <v>1206</v>
      </c>
      <c r="Y66" s="35" t="n">
        <f aca="false">ROUND(Y47*$B$19*5.36,0)</f>
        <v>1233</v>
      </c>
    </row>
    <row r="67" customFormat="false" ht="15" hidden="false" customHeight="false" outlineLevel="0" collapsed="false">
      <c r="A67" s="16" t="s">
        <v>267</v>
      </c>
      <c r="B67" s="35" t="n">
        <f aca="false">ROUND(B48*$B$20*5.36,0)</f>
        <v>80</v>
      </c>
      <c r="C67" s="35" t="n">
        <f aca="false">ROUND(C48*$B$20*5.36,0)</f>
        <v>161</v>
      </c>
      <c r="D67" s="35" t="n">
        <f aca="false">ROUND(D48*$B$20*5.36,0)</f>
        <v>241</v>
      </c>
      <c r="E67" s="35" t="n">
        <f aca="false">ROUND(E48*$B$20*5.36,0)</f>
        <v>322</v>
      </c>
      <c r="F67" s="35" t="n">
        <f aca="false">ROUND(F48*$B$20*5.36,0)</f>
        <v>402</v>
      </c>
      <c r="G67" s="35" t="n">
        <f aca="false">ROUND(G48*$B$20*5.36,0)</f>
        <v>482</v>
      </c>
      <c r="H67" s="35" t="n">
        <f aca="false">ROUND(H48*$B$20*5.36,0)</f>
        <v>563</v>
      </c>
      <c r="I67" s="35" t="n">
        <f aca="false">ROUND(I48*$B$20*5.36,0)</f>
        <v>643</v>
      </c>
      <c r="J67" s="35" t="n">
        <f aca="false">ROUND(J48*$B$20*5.36,0)</f>
        <v>724</v>
      </c>
      <c r="K67" s="35" t="n">
        <f aca="false">ROUND(K48*$B$20*5.36,0)</f>
        <v>804</v>
      </c>
      <c r="L67" s="35" t="n">
        <f aca="false">ROUND(L48*$B$20*5.36,0)</f>
        <v>884</v>
      </c>
      <c r="M67" s="35" t="n">
        <f aca="false">ROUND(M48*$B$20*5.36,0)</f>
        <v>965</v>
      </c>
      <c r="N67" s="35" t="n">
        <f aca="false">ROUND(N48*$B$20*5.36,0)</f>
        <v>1045</v>
      </c>
      <c r="O67" s="35" t="n">
        <f aca="false">ROUND(O48*$B$20*5.36,0)</f>
        <v>1045</v>
      </c>
      <c r="P67" s="35" t="n">
        <f aca="false">ROUND(P48*$B$20*5.36,0)</f>
        <v>1045</v>
      </c>
      <c r="Q67" s="35" t="n">
        <f aca="false">ROUND(Q48*$B$20*5.36,0)</f>
        <v>1045</v>
      </c>
      <c r="R67" s="35" t="n">
        <f aca="false">ROUND(R48*$B$20*5.36,0)</f>
        <v>1045</v>
      </c>
      <c r="S67" s="35" t="n">
        <f aca="false">ROUND(S48*$B$20*5.36,0)</f>
        <v>1045</v>
      </c>
      <c r="T67" s="35" t="n">
        <f aca="false">ROUND(T48*$B$20*5.36,0)</f>
        <v>1045</v>
      </c>
      <c r="U67" s="35" t="n">
        <f aca="false">ROUND(U48*$B$20*5.36,0)</f>
        <v>1045</v>
      </c>
      <c r="V67" s="35" t="n">
        <f aca="false">ROUND(V48*$B$20*5.36,0)</f>
        <v>1045</v>
      </c>
      <c r="W67" s="35" t="n">
        <f aca="false">ROUND(W48*$B$20*5.36,0)</f>
        <v>1045</v>
      </c>
      <c r="X67" s="35" t="n">
        <f aca="false">ROUND(X48*$B$20*5.36,0)</f>
        <v>1045</v>
      </c>
      <c r="Y67" s="35" t="n">
        <f aca="false">ROUND(Y48*$B$20*5.36,0)</f>
        <v>1045</v>
      </c>
    </row>
    <row r="68" customFormat="false" ht="15" hidden="false" customHeight="false" outlineLevel="0" collapsed="false">
      <c r="A68" s="16" t="s">
        <v>268</v>
      </c>
      <c r="B68" s="37" t="n">
        <f aca="false">SUM(B62:B67)</f>
        <v>472</v>
      </c>
      <c r="C68" s="37" t="n">
        <f aca="false">SUM(C62:C67)</f>
        <v>1023</v>
      </c>
      <c r="D68" s="37" t="n">
        <f aca="false">SUM(D62:D67)</f>
        <v>1634</v>
      </c>
      <c r="E68" s="37" t="n">
        <f aca="false">SUM(E62:E67)</f>
        <v>2308</v>
      </c>
      <c r="F68" s="37" t="n">
        <f aca="false">SUM(F62:F67)</f>
        <v>3036</v>
      </c>
      <c r="G68" s="37" t="n">
        <f aca="false">SUM(G62:G67)</f>
        <v>3787</v>
      </c>
      <c r="H68" s="37" t="n">
        <f aca="false">SUM(H62:H67)</f>
        <v>4585</v>
      </c>
      <c r="I68" s="37" t="n">
        <f aca="false">SUM(I62:I67)</f>
        <v>5433</v>
      </c>
      <c r="J68" s="37" t="n">
        <f aca="false">SUM(J62:J67)</f>
        <v>6336</v>
      </c>
      <c r="K68" s="37" t="n">
        <f aca="false">SUM(K62:K67)</f>
        <v>7288</v>
      </c>
      <c r="L68" s="37" t="n">
        <f aca="false">SUM(L62:L67)</f>
        <v>8303</v>
      </c>
      <c r="M68" s="37" t="n">
        <f aca="false">SUM(M62:M67)</f>
        <v>9386</v>
      </c>
      <c r="N68" s="37" t="n">
        <f aca="false">SUM(N62:N67)</f>
        <v>10533</v>
      </c>
      <c r="O68" s="37" t="n">
        <f aca="false">SUM(O62:O67)</f>
        <v>11649</v>
      </c>
      <c r="P68" s="37" t="n">
        <f aca="false">SUM(P62:P67)</f>
        <v>12820</v>
      </c>
      <c r="Q68" s="37" t="n">
        <f aca="false">SUM(Q62:Q67)</f>
        <v>14064</v>
      </c>
      <c r="R68" s="37" t="n">
        <f aca="false">SUM(R62:R67)</f>
        <v>15395</v>
      </c>
      <c r="S68" s="37" t="n">
        <f aca="false">SUM(S62:S67)</f>
        <v>16783</v>
      </c>
      <c r="T68" s="37" t="n">
        <f aca="false">SUM(T62:T67)</f>
        <v>18280</v>
      </c>
      <c r="U68" s="37" t="n">
        <f aca="false">SUM(U62:U67)</f>
        <v>19895</v>
      </c>
      <c r="V68" s="37" t="n">
        <f aca="false">SUM(V62:V67)</f>
        <v>21649</v>
      </c>
      <c r="W68" s="37" t="n">
        <f aca="false">SUM(W62:W67)</f>
        <v>23561</v>
      </c>
      <c r="X68" s="37" t="n">
        <f aca="false">SUM(X62:X67)</f>
        <v>25649</v>
      </c>
      <c r="Y68" s="37" t="n">
        <f aca="false">SUM(Y62:Y67)</f>
        <v>27939</v>
      </c>
    </row>
    <row r="69" customFormat="false" ht="15" hidden="false" customHeight="false" outlineLevel="0" collapsed="false">
      <c r="A69" s="13" t="s">
        <v>269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customFormat="false" ht="15" hidden="false" customHeight="false" outlineLevel="0" collapsed="false">
      <c r="A70" s="16"/>
      <c r="B70" s="37" t="n">
        <f aca="false">B60-B68</f>
        <v>2658</v>
      </c>
      <c r="C70" s="37" t="n">
        <f aca="false">C60-C68</f>
        <v>4355</v>
      </c>
      <c r="D70" s="37" t="n">
        <f aca="false">D60-D68</f>
        <v>5991</v>
      </c>
      <c r="E70" s="37" t="n">
        <f aca="false">E60-E68</f>
        <v>7541</v>
      </c>
      <c r="F70" s="37" t="n">
        <f aca="false">F60-F68</f>
        <v>9159</v>
      </c>
      <c r="G70" s="37" t="n">
        <f aca="false">G60-G68</f>
        <v>10695</v>
      </c>
      <c r="H70" s="37" t="n">
        <f aca="false">H60-H68</f>
        <v>12208</v>
      </c>
      <c r="I70" s="37" t="n">
        <f aca="false">I60-I68</f>
        <v>13749</v>
      </c>
      <c r="J70" s="37" t="n">
        <f aca="false">J60-J68</f>
        <v>15460</v>
      </c>
      <c r="K70" s="37" t="n">
        <f aca="false">K60-K68</f>
        <v>17142</v>
      </c>
      <c r="L70" s="37" t="n">
        <f aca="false">L60-L68</f>
        <v>18965</v>
      </c>
      <c r="M70" s="37" t="n">
        <f aca="false">M60-M68</f>
        <v>20847</v>
      </c>
      <c r="N70" s="37" t="n">
        <f aca="false">N60-N68</f>
        <v>22787</v>
      </c>
      <c r="O70" s="37" t="n">
        <f aca="false">O60-O68</f>
        <v>24244</v>
      </c>
      <c r="P70" s="37" t="n">
        <f aca="false">P60-P68</f>
        <v>25773</v>
      </c>
      <c r="Q70" s="37" t="n">
        <f aca="false">Q60-Q68</f>
        <v>27536</v>
      </c>
      <c r="R70" s="37" t="n">
        <f aca="false">R60-R68</f>
        <v>29482</v>
      </c>
      <c r="S70" s="37" t="n">
        <f aca="false">S60-S68</f>
        <v>31403</v>
      </c>
      <c r="T70" s="37" t="n">
        <f aca="false">T60-T68</f>
        <v>33586</v>
      </c>
      <c r="U70" s="37" t="n">
        <f aca="false">U60-U68</f>
        <v>36021</v>
      </c>
      <c r="V70" s="37" t="n">
        <f aca="false">V60-V68</f>
        <v>38694</v>
      </c>
      <c r="W70" s="37" t="n">
        <f aca="false">W60-W68</f>
        <v>41642</v>
      </c>
      <c r="X70" s="37" t="n">
        <f aca="false">X60-X68</f>
        <v>44854</v>
      </c>
      <c r="Y70" s="37" t="n">
        <f aca="false">Y60-Y68</f>
        <v>48483</v>
      </c>
    </row>
    <row r="71" customFormat="false" ht="15" hidden="false" customHeight="false" outlineLevel="0" collapsed="false">
      <c r="A71" s="13" t="s">
        <v>270</v>
      </c>
      <c r="B71" s="25" t="n">
        <f aca="false">IF(B60=0,0,B70/B60)</f>
        <v>0.849201277955272</v>
      </c>
      <c r="C71" s="25" t="n">
        <f aca="false">IF(C60=0,0,C70/C60)</f>
        <v>0.809780587579026</v>
      </c>
      <c r="D71" s="25" t="n">
        <f aca="false">IF(D60=0,0,D70/D60)</f>
        <v>0.785704918032787</v>
      </c>
      <c r="E71" s="25" t="n">
        <f aca="false">IF(E60=0,0,E70/E60)</f>
        <v>0.765661488475987</v>
      </c>
      <c r="F71" s="25" t="n">
        <f aca="false">IF(F60=0,0,F70/F60)</f>
        <v>0.751045510455105</v>
      </c>
      <c r="G71" s="25" t="n">
        <f aca="false">IF(G60=0,0,G70/G60)</f>
        <v>0.738502969203149</v>
      </c>
      <c r="H71" s="25" t="n">
        <f aca="false">IF(H60=0,0,H70/H60)</f>
        <v>0.726969570654439</v>
      </c>
      <c r="I71" s="25" t="n">
        <f aca="false">IF(I60=0,0,I70/I60)</f>
        <v>0.716765717860494</v>
      </c>
      <c r="J71" s="25" t="n">
        <f aca="false">IF(J60=0,0,J70/J60)</f>
        <v>0.70930445953386</v>
      </c>
      <c r="K71" s="25" t="n">
        <f aca="false">IF(K60=0,0,K70/K60)</f>
        <v>0.701678264428981</v>
      </c>
      <c r="L71" s="25" t="n">
        <f aca="false">IF(L60=0,0,L70/L60)</f>
        <v>0.695503887340472</v>
      </c>
      <c r="M71" s="25" t="n">
        <f aca="false">IF(M60=0,0,M70/M60)</f>
        <v>0.689544537425991</v>
      </c>
      <c r="N71" s="25" t="n">
        <f aca="false">IF(N60=0,0,N70/N60)</f>
        <v>0.683883553421369</v>
      </c>
      <c r="O71" s="25" t="n">
        <f aca="false">IF(O60=0,0,O70/O60)</f>
        <v>0.675452038001839</v>
      </c>
      <c r="P71" s="25" t="n">
        <f aca="false">IF(P60=0,0,P70/P60)</f>
        <v>0.667815406939082</v>
      </c>
      <c r="Q71" s="25" t="n">
        <f aca="false">IF(Q60=0,0,Q70/Q60)</f>
        <v>0.661923076923077</v>
      </c>
      <c r="R71" s="25" t="n">
        <f aca="false">IF(R60=0,0,R70/R60)</f>
        <v>0.65695122222965</v>
      </c>
      <c r="S71" s="25" t="n">
        <f aca="false">IF(S60=0,0,S70/S60)</f>
        <v>0.651703814385921</v>
      </c>
      <c r="T71" s="25" t="n">
        <f aca="false">IF(T60=0,0,T70/T60)</f>
        <v>0.647553310453862</v>
      </c>
      <c r="U71" s="25" t="n">
        <f aca="false">IF(U60=0,0,U70/U60)</f>
        <v>0.64419844051792</v>
      </c>
      <c r="V71" s="25" t="n">
        <f aca="false">IF(V60=0,0,V70/V60)</f>
        <v>0.641234277380972</v>
      </c>
      <c r="W71" s="25" t="n">
        <f aca="false">IF(W60=0,0,W70/W60)</f>
        <v>0.63865159578547</v>
      </c>
      <c r="X71" s="25" t="n">
        <f aca="false">IF(X60=0,0,X70/X60)</f>
        <v>0.636199878019375</v>
      </c>
      <c r="Y71" s="25" t="n">
        <f aca="false">IF(Y60=0,0,Y70/Y60)</f>
        <v>0.634411556881526</v>
      </c>
    </row>
    <row r="72" customFormat="false" ht="15" hidden="false" customHeight="false" outlineLevel="0" collapsed="false">
      <c r="A72" s="13" t="s">
        <v>271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8A1A"/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273</v>
      </c>
    </row>
    <row r="4" customFormat="false" ht="15" hidden="false" customHeight="false" outlineLevel="0" collapsed="false">
      <c r="A4" s="3" t="s">
        <v>274</v>
      </c>
    </row>
    <row r="5" customFormat="false" ht="15" hidden="false" customHeight="false" outlineLevel="0" collapsed="false">
      <c r="A5" s="4" t="s">
        <v>275</v>
      </c>
      <c r="B5" s="4" t="s">
        <v>276</v>
      </c>
      <c r="C5" s="4" t="s">
        <v>277</v>
      </c>
      <c r="D5" s="4" t="s">
        <v>278</v>
      </c>
    </row>
    <row r="6" customFormat="false" ht="15" hidden="false" customHeight="false" outlineLevel="0" collapsed="false">
      <c r="A6" s="38" t="s">
        <v>17</v>
      </c>
      <c r="B6" s="6" t="s">
        <v>5</v>
      </c>
      <c r="C6" s="6" t="s">
        <v>279</v>
      </c>
      <c r="D6" s="6" t="s">
        <v>280</v>
      </c>
    </row>
    <row r="7" customFormat="false" ht="15" hidden="false" customHeight="false" outlineLevel="0" collapsed="false">
      <c r="A7" s="38" t="s">
        <v>18</v>
      </c>
      <c r="B7" s="6" t="s">
        <v>281</v>
      </c>
      <c r="C7" s="6" t="s">
        <v>282</v>
      </c>
      <c r="D7" s="6" t="s">
        <v>283</v>
      </c>
    </row>
    <row r="8" customFormat="false" ht="15" hidden="false" customHeight="false" outlineLevel="0" collapsed="false">
      <c r="A8" s="38" t="s">
        <v>19</v>
      </c>
      <c r="B8" s="6" t="s">
        <v>284</v>
      </c>
      <c r="C8" s="6" t="s">
        <v>285</v>
      </c>
      <c r="D8" s="6" t="s">
        <v>283</v>
      </c>
    </row>
    <row r="9" customFormat="false" ht="15" hidden="false" customHeight="false" outlineLevel="0" collapsed="false">
      <c r="A9" s="38" t="s">
        <v>286</v>
      </c>
      <c r="B9" s="6" t="s">
        <v>287</v>
      </c>
      <c r="C9" s="6" t="s">
        <v>288</v>
      </c>
      <c r="D9" s="6" t="s">
        <v>289</v>
      </c>
    </row>
    <row r="10" customFormat="false" ht="15" hidden="false" customHeight="false" outlineLevel="0" collapsed="false">
      <c r="A10" s="38" t="s">
        <v>68</v>
      </c>
      <c r="B10" s="6" t="s">
        <v>290</v>
      </c>
      <c r="C10" s="6" t="s">
        <v>291</v>
      </c>
      <c r="D10" s="6" t="s">
        <v>292</v>
      </c>
    </row>
    <row r="11" customFormat="false" ht="15" hidden="false" customHeight="false" outlineLevel="0" collapsed="false">
      <c r="A11" s="38" t="s">
        <v>69</v>
      </c>
      <c r="B11" s="6" t="s">
        <v>293</v>
      </c>
      <c r="C11" s="6" t="s">
        <v>294</v>
      </c>
      <c r="D11" s="6" t="s">
        <v>292</v>
      </c>
    </row>
    <row r="12" customFormat="false" ht="15" hidden="false" customHeight="false" outlineLevel="0" collapsed="false">
      <c r="A12" s="38" t="s">
        <v>70</v>
      </c>
      <c r="B12" s="6" t="s">
        <v>295</v>
      </c>
      <c r="C12" s="6" t="s">
        <v>296</v>
      </c>
      <c r="D12" s="6" t="s">
        <v>297</v>
      </c>
    </row>
    <row r="15" customFormat="false" ht="15" hidden="false" customHeight="false" outlineLevel="0" collapsed="false">
      <c r="A15" s="3" t="s">
        <v>298</v>
      </c>
    </row>
    <row r="16" customFormat="false" ht="15" hidden="false" customHeight="false" outlineLevel="0" collapsed="false">
      <c r="A16" s="4" t="s">
        <v>299</v>
      </c>
      <c r="B16" s="4" t="s">
        <v>300</v>
      </c>
      <c r="C16" s="4" t="s">
        <v>301</v>
      </c>
      <c r="D16" s="4" t="s">
        <v>302</v>
      </c>
    </row>
    <row r="17" customFormat="false" ht="15" hidden="false" customHeight="false" outlineLevel="0" collapsed="false">
      <c r="A17" s="39" t="s">
        <v>303</v>
      </c>
      <c r="B17" s="40" t="s">
        <v>304</v>
      </c>
      <c r="C17" s="6" t="s">
        <v>305</v>
      </c>
      <c r="D17" s="6" t="s">
        <v>306</v>
      </c>
    </row>
    <row r="18" customFormat="false" ht="15" hidden="false" customHeight="false" outlineLevel="0" collapsed="false">
      <c r="A18" s="39" t="s">
        <v>307</v>
      </c>
      <c r="B18" s="40" t="s">
        <v>304</v>
      </c>
      <c r="C18" s="6" t="s">
        <v>305</v>
      </c>
      <c r="D18" s="6" t="s">
        <v>308</v>
      </c>
    </row>
    <row r="19" customFormat="false" ht="15" hidden="false" customHeight="false" outlineLevel="0" collapsed="false">
      <c r="A19" s="39" t="s">
        <v>309</v>
      </c>
      <c r="B19" s="40" t="s">
        <v>304</v>
      </c>
      <c r="C19" s="6" t="s">
        <v>305</v>
      </c>
      <c r="D19" s="6" t="s">
        <v>310</v>
      </c>
    </row>
    <row r="20" customFormat="false" ht="15" hidden="false" customHeight="false" outlineLevel="0" collapsed="false">
      <c r="A20" s="39" t="s">
        <v>311</v>
      </c>
      <c r="B20" s="41" t="s">
        <v>280</v>
      </c>
      <c r="C20" s="6" t="s">
        <v>312</v>
      </c>
      <c r="D20" s="6" t="s">
        <v>313</v>
      </c>
    </row>
    <row r="21" customFormat="false" ht="15" hidden="false" customHeight="false" outlineLevel="0" collapsed="false">
      <c r="A21" s="39" t="s">
        <v>314</v>
      </c>
      <c r="B21" s="40" t="s">
        <v>304</v>
      </c>
      <c r="C21" s="6" t="s">
        <v>315</v>
      </c>
      <c r="D21" s="6" t="s">
        <v>316</v>
      </c>
    </row>
    <row r="22" customFormat="false" ht="15" hidden="false" customHeight="false" outlineLevel="0" collapsed="false">
      <c r="A22" s="39" t="s">
        <v>317</v>
      </c>
      <c r="B22" s="40" t="s">
        <v>304</v>
      </c>
      <c r="C22" s="6" t="s">
        <v>19</v>
      </c>
      <c r="D22" s="6" t="s">
        <v>318</v>
      </c>
    </row>
    <row r="23" customFormat="false" ht="15" hidden="false" customHeight="false" outlineLevel="0" collapsed="false">
      <c r="A23" s="39" t="s">
        <v>319</v>
      </c>
      <c r="B23" s="42" t="s">
        <v>320</v>
      </c>
      <c r="C23" s="6" t="s">
        <v>321</v>
      </c>
      <c r="D23" s="6" t="s">
        <v>322</v>
      </c>
    </row>
    <row r="24" customFormat="false" ht="15" hidden="false" customHeight="false" outlineLevel="0" collapsed="false">
      <c r="A24" s="39" t="s">
        <v>323</v>
      </c>
      <c r="B24" s="40" t="s">
        <v>304</v>
      </c>
      <c r="C24" s="6" t="s">
        <v>305</v>
      </c>
      <c r="D24" s="6" t="s">
        <v>324</v>
      </c>
    </row>
    <row r="25" customFormat="false" ht="15" hidden="false" customHeight="false" outlineLevel="0" collapsed="false">
      <c r="A25" s="39" t="s">
        <v>325</v>
      </c>
      <c r="B25" s="40" t="s">
        <v>304</v>
      </c>
      <c r="C25" s="6" t="s">
        <v>326</v>
      </c>
      <c r="D25" s="6" t="s">
        <v>327</v>
      </c>
    </row>
    <row r="26" customFormat="false" ht="15" hidden="false" customHeight="false" outlineLevel="0" collapsed="false">
      <c r="A26" s="39" t="s">
        <v>328</v>
      </c>
      <c r="B26" s="40" t="s">
        <v>304</v>
      </c>
      <c r="C26" s="6" t="s">
        <v>305</v>
      </c>
      <c r="D26" s="6" t="s">
        <v>329</v>
      </c>
    </row>
    <row r="27" customFormat="false" ht="15" hidden="false" customHeight="false" outlineLevel="0" collapsed="false">
      <c r="A27" s="39" t="s">
        <v>330</v>
      </c>
      <c r="B27" s="40" t="s">
        <v>304</v>
      </c>
      <c r="C27" s="6" t="s">
        <v>19</v>
      </c>
      <c r="D27" s="6" t="s">
        <v>331</v>
      </c>
    </row>
    <row r="28" customFormat="false" ht="15" hidden="false" customHeight="false" outlineLevel="0" collapsed="false">
      <c r="A28" s="39" t="s">
        <v>332</v>
      </c>
      <c r="B28" s="40" t="s">
        <v>304</v>
      </c>
      <c r="C28" s="6" t="s">
        <v>19</v>
      </c>
      <c r="D28" s="6" t="s">
        <v>333</v>
      </c>
    </row>
    <row r="29" customFormat="false" ht="15" hidden="false" customHeight="false" outlineLevel="0" collapsed="false">
      <c r="A29" s="39" t="s">
        <v>334</v>
      </c>
      <c r="B29" s="40" t="s">
        <v>304</v>
      </c>
      <c r="C29" s="6" t="s">
        <v>305</v>
      </c>
      <c r="D29" s="6" t="s">
        <v>335</v>
      </c>
    </row>
    <row r="30" customFormat="false" ht="15" hidden="false" customHeight="false" outlineLevel="0" collapsed="false">
      <c r="A30" s="39" t="s">
        <v>336</v>
      </c>
      <c r="B30" s="40" t="s">
        <v>304</v>
      </c>
      <c r="C30" s="6" t="s">
        <v>305</v>
      </c>
      <c r="D30" s="6" t="s">
        <v>48</v>
      </c>
    </row>
    <row r="31" customFormat="false" ht="15" hidden="false" customHeight="false" outlineLevel="0" collapsed="false">
      <c r="A31" s="39" t="s">
        <v>337</v>
      </c>
      <c r="B31" s="40" t="s">
        <v>304</v>
      </c>
      <c r="C31" s="6" t="s">
        <v>305</v>
      </c>
      <c r="D31" s="6" t="s">
        <v>338</v>
      </c>
    </row>
    <row r="32" customFormat="false" ht="15" hidden="false" customHeight="false" outlineLevel="0" collapsed="false">
      <c r="A32" s="39" t="s">
        <v>339</v>
      </c>
      <c r="B32" s="43" t="s">
        <v>340</v>
      </c>
      <c r="C32" s="6" t="s">
        <v>341</v>
      </c>
      <c r="D32" s="6" t="s">
        <v>342</v>
      </c>
    </row>
    <row r="33" customFormat="false" ht="15" hidden="false" customHeight="false" outlineLevel="0" collapsed="false">
      <c r="A33" s="39" t="s">
        <v>343</v>
      </c>
      <c r="B33" s="43" t="s">
        <v>340</v>
      </c>
      <c r="C33" s="6" t="s">
        <v>341</v>
      </c>
      <c r="D33" s="6" t="s">
        <v>344</v>
      </c>
    </row>
    <row r="34" customFormat="false" ht="15" hidden="false" customHeight="false" outlineLevel="0" collapsed="false">
      <c r="A34" s="39" t="s">
        <v>345</v>
      </c>
      <c r="B34" s="43" t="s">
        <v>340</v>
      </c>
      <c r="C34" s="6" t="s">
        <v>341</v>
      </c>
      <c r="D34" s="6" t="s">
        <v>83</v>
      </c>
    </row>
    <row r="35" customFormat="false" ht="15" hidden="false" customHeight="false" outlineLevel="0" collapsed="false">
      <c r="A35" s="39" t="s">
        <v>346</v>
      </c>
      <c r="B35" s="43" t="s">
        <v>340</v>
      </c>
      <c r="C35" s="6" t="s">
        <v>347</v>
      </c>
      <c r="D35" s="6" t="s">
        <v>348</v>
      </c>
    </row>
    <row r="36" customFormat="false" ht="15" hidden="false" customHeight="false" outlineLevel="0" collapsed="false">
      <c r="A36" s="39" t="s">
        <v>349</v>
      </c>
      <c r="B36" s="43" t="s">
        <v>340</v>
      </c>
      <c r="C36" s="6" t="s">
        <v>347</v>
      </c>
      <c r="D36" s="6" t="s">
        <v>350</v>
      </c>
    </row>
    <row r="37" customFormat="false" ht="15" hidden="false" customHeight="false" outlineLevel="0" collapsed="false">
      <c r="A37" s="39" t="s">
        <v>351</v>
      </c>
      <c r="B37" s="43" t="s">
        <v>340</v>
      </c>
      <c r="C37" s="6" t="s">
        <v>347</v>
      </c>
      <c r="D37" s="6" t="s">
        <v>88</v>
      </c>
    </row>
    <row r="38" customFormat="false" ht="15" hidden="false" customHeight="false" outlineLevel="0" collapsed="false">
      <c r="A38" s="39" t="s">
        <v>352</v>
      </c>
      <c r="B38" s="43" t="s">
        <v>340</v>
      </c>
      <c r="C38" s="6" t="s">
        <v>70</v>
      </c>
      <c r="D38" s="6" t="s">
        <v>353</v>
      </c>
    </row>
    <row r="39" customFormat="false" ht="15" hidden="false" customHeight="false" outlineLevel="0" collapsed="false">
      <c r="A39" s="39" t="s">
        <v>354</v>
      </c>
      <c r="B39" s="43" t="s">
        <v>340</v>
      </c>
      <c r="C39" s="6" t="s">
        <v>70</v>
      </c>
      <c r="D39" s="6" t="s">
        <v>355</v>
      </c>
    </row>
    <row r="40" customFormat="false" ht="15" hidden="false" customHeight="false" outlineLevel="0" collapsed="false">
      <c r="A40" s="39" t="s">
        <v>356</v>
      </c>
      <c r="B40" s="43" t="s">
        <v>340</v>
      </c>
      <c r="C40" s="6" t="s">
        <v>70</v>
      </c>
      <c r="D40" s="6" t="s">
        <v>357</v>
      </c>
    </row>
    <row r="41" customFormat="false" ht="15" hidden="false" customHeight="false" outlineLevel="0" collapsed="false">
      <c r="A41" s="39" t="s">
        <v>358</v>
      </c>
      <c r="B41" s="43" t="s">
        <v>340</v>
      </c>
      <c r="C41" s="6" t="s">
        <v>70</v>
      </c>
      <c r="D41" s="6" t="s">
        <v>359</v>
      </c>
    </row>
    <row r="42" customFormat="false" ht="15" hidden="false" customHeight="false" outlineLevel="0" collapsed="false">
      <c r="A42" s="39" t="s">
        <v>360</v>
      </c>
      <c r="B42" s="43" t="s">
        <v>340</v>
      </c>
      <c r="C42" s="6" t="s">
        <v>347</v>
      </c>
      <c r="D42" s="6" t="s">
        <v>361</v>
      </c>
    </row>
    <row r="43" customFormat="false" ht="15" hidden="false" customHeight="false" outlineLevel="0" collapsed="false">
      <c r="A43" s="39" t="s">
        <v>362</v>
      </c>
      <c r="B43" s="43" t="s">
        <v>340</v>
      </c>
      <c r="C43" s="6" t="s">
        <v>70</v>
      </c>
      <c r="D43" s="6" t="s">
        <v>363</v>
      </c>
    </row>
    <row r="46" customFormat="false" ht="15" hidden="false" customHeight="false" outlineLevel="0" collapsed="false">
      <c r="A46" s="3" t="s">
        <v>364</v>
      </c>
    </row>
    <row r="47" customFormat="false" ht="15" hidden="false" customHeight="false" outlineLevel="0" collapsed="false">
      <c r="A47" s="4" t="s">
        <v>365</v>
      </c>
      <c r="B47" s="4" t="s">
        <v>275</v>
      </c>
      <c r="C47" s="4" t="s">
        <v>366</v>
      </c>
      <c r="D47" s="4" t="s">
        <v>367</v>
      </c>
    </row>
    <row r="48" customFormat="false" ht="15" hidden="false" customHeight="false" outlineLevel="0" collapsed="false">
      <c r="A48" s="39" t="s">
        <v>368</v>
      </c>
      <c r="B48" s="7" t="s">
        <v>17</v>
      </c>
      <c r="C48" s="6" t="s">
        <v>369</v>
      </c>
      <c r="D48" s="6" t="s">
        <v>370</v>
      </c>
    </row>
    <row r="49" customFormat="false" ht="15" hidden="false" customHeight="false" outlineLevel="0" collapsed="false">
      <c r="A49" s="39" t="s">
        <v>368</v>
      </c>
      <c r="B49" s="7" t="s">
        <v>18</v>
      </c>
      <c r="C49" s="6" t="s">
        <v>371</v>
      </c>
      <c r="D49" s="6"/>
    </row>
    <row r="50" customFormat="false" ht="15" hidden="false" customHeight="false" outlineLevel="0" collapsed="false">
      <c r="A50" s="39" t="s">
        <v>368</v>
      </c>
      <c r="B50" s="7" t="s">
        <v>19</v>
      </c>
      <c r="C50" s="6" t="s">
        <v>371</v>
      </c>
      <c r="D50" s="6"/>
    </row>
    <row r="51" customFormat="false" ht="15" hidden="false" customHeight="false" outlineLevel="0" collapsed="false">
      <c r="A51" s="39" t="s">
        <v>372</v>
      </c>
      <c r="B51" s="7" t="s">
        <v>68</v>
      </c>
      <c r="C51" s="6" t="s">
        <v>76</v>
      </c>
      <c r="D51" s="6" t="s">
        <v>373</v>
      </c>
    </row>
    <row r="52" customFormat="false" ht="15" hidden="false" customHeight="false" outlineLevel="0" collapsed="false">
      <c r="A52" s="39" t="s">
        <v>372</v>
      </c>
      <c r="B52" s="7" t="s">
        <v>69</v>
      </c>
      <c r="C52" s="6" t="s">
        <v>77</v>
      </c>
      <c r="D52" s="6" t="s">
        <v>374</v>
      </c>
    </row>
    <row r="53" customFormat="false" ht="15" hidden="false" customHeight="false" outlineLevel="0" collapsed="false">
      <c r="A53" s="39" t="s">
        <v>372</v>
      </c>
      <c r="B53" s="7" t="s">
        <v>70</v>
      </c>
      <c r="C53" s="6" t="s">
        <v>371</v>
      </c>
      <c r="D53" s="6"/>
    </row>
    <row r="54" customFormat="false" ht="15" hidden="false" customHeight="false" outlineLevel="0" collapsed="false">
      <c r="A54" s="39" t="s">
        <v>375</v>
      </c>
      <c r="B54" s="7" t="s">
        <v>68</v>
      </c>
      <c r="C54" s="6" t="s">
        <v>73</v>
      </c>
      <c r="D54" s="6" t="s">
        <v>376</v>
      </c>
    </row>
    <row r="55" customFormat="false" ht="15" hidden="false" customHeight="false" outlineLevel="0" collapsed="false">
      <c r="A55" s="39" t="s">
        <v>375</v>
      </c>
      <c r="B55" s="7" t="s">
        <v>69</v>
      </c>
      <c r="C55" s="6" t="s">
        <v>74</v>
      </c>
      <c r="D55" s="6" t="s">
        <v>377</v>
      </c>
    </row>
    <row r="56" customFormat="false" ht="15" hidden="false" customHeight="false" outlineLevel="0" collapsed="false">
      <c r="A56" s="39" t="s">
        <v>375</v>
      </c>
      <c r="B56" s="7" t="s">
        <v>70</v>
      </c>
      <c r="C56" s="6" t="s">
        <v>371</v>
      </c>
      <c r="D56" s="6"/>
    </row>
    <row r="57" customFormat="false" ht="15" hidden="false" customHeight="false" outlineLevel="0" collapsed="false">
      <c r="A57" s="39" t="s">
        <v>378</v>
      </c>
      <c r="B57" s="7" t="s">
        <v>18</v>
      </c>
      <c r="C57" s="6" t="s">
        <v>379</v>
      </c>
      <c r="D57" s="6" t="s">
        <v>380</v>
      </c>
    </row>
    <row r="58" customFormat="false" ht="15" hidden="false" customHeight="false" outlineLevel="0" collapsed="false">
      <c r="A58" s="39" t="s">
        <v>378</v>
      </c>
      <c r="B58" s="7" t="s">
        <v>19</v>
      </c>
      <c r="C58" s="6" t="s">
        <v>381</v>
      </c>
      <c r="D58" s="6" t="s">
        <v>382</v>
      </c>
    </row>
    <row r="59" customFormat="false" ht="15" hidden="false" customHeight="false" outlineLevel="0" collapsed="false">
      <c r="A59" s="39" t="s">
        <v>383</v>
      </c>
      <c r="B59" s="7" t="s">
        <v>17</v>
      </c>
      <c r="C59" s="6" t="s">
        <v>369</v>
      </c>
      <c r="D59" s="6" t="s">
        <v>384</v>
      </c>
    </row>
    <row r="62" customFormat="false" ht="15" hidden="false" customHeight="false" outlineLevel="0" collapsed="false">
      <c r="A62" s="3" t="s">
        <v>385</v>
      </c>
    </row>
    <row r="63" customFormat="false" ht="15" hidden="false" customHeight="false" outlineLevel="0" collapsed="false">
      <c r="A63" s="4" t="s">
        <v>386</v>
      </c>
      <c r="B63" s="4" t="s">
        <v>387</v>
      </c>
      <c r="C63" s="4" t="s">
        <v>388</v>
      </c>
      <c r="D63" s="4" t="s">
        <v>389</v>
      </c>
    </row>
    <row r="64" customFormat="false" ht="15" hidden="false" customHeight="false" outlineLevel="0" collapsed="false">
      <c r="A64" s="6" t="s">
        <v>390</v>
      </c>
      <c r="B64" s="7" t="s">
        <v>17</v>
      </c>
      <c r="C64" s="7" t="s">
        <v>18</v>
      </c>
      <c r="D64" s="6" t="s">
        <v>391</v>
      </c>
    </row>
    <row r="65" customFormat="false" ht="15" hidden="false" customHeight="false" outlineLevel="0" collapsed="false">
      <c r="A65" s="6" t="s">
        <v>392</v>
      </c>
      <c r="B65" s="7" t="s">
        <v>17</v>
      </c>
      <c r="C65" s="7" t="s">
        <v>18</v>
      </c>
      <c r="D65" s="6" t="s">
        <v>393</v>
      </c>
    </row>
    <row r="66" customFormat="false" ht="15" hidden="false" customHeight="false" outlineLevel="0" collapsed="false">
      <c r="A66" s="6" t="s">
        <v>394</v>
      </c>
      <c r="B66" s="7" t="s">
        <v>17</v>
      </c>
      <c r="C66" s="7" t="s">
        <v>18</v>
      </c>
      <c r="D66" s="6" t="s">
        <v>395</v>
      </c>
    </row>
    <row r="67" customFormat="false" ht="15" hidden="false" customHeight="false" outlineLevel="0" collapsed="false">
      <c r="A67" s="6" t="s">
        <v>396</v>
      </c>
      <c r="B67" s="7" t="s">
        <v>17</v>
      </c>
      <c r="C67" s="7" t="s">
        <v>18</v>
      </c>
      <c r="D67" s="6" t="s">
        <v>397</v>
      </c>
    </row>
    <row r="68" customFormat="false" ht="15" hidden="false" customHeight="false" outlineLevel="0" collapsed="false">
      <c r="A68" s="6" t="s">
        <v>398</v>
      </c>
      <c r="B68" s="7" t="s">
        <v>18</v>
      </c>
      <c r="C68" s="7" t="s">
        <v>19</v>
      </c>
      <c r="D68" s="6" t="s">
        <v>399</v>
      </c>
    </row>
    <row r="69" customFormat="false" ht="15" hidden="false" customHeight="false" outlineLevel="0" collapsed="false">
      <c r="A69" s="6" t="s">
        <v>400</v>
      </c>
      <c r="B69" s="7" t="s">
        <v>68</v>
      </c>
      <c r="C69" s="7" t="s">
        <v>69</v>
      </c>
      <c r="D69" s="6" t="s">
        <v>401</v>
      </c>
    </row>
    <row r="70" customFormat="false" ht="15" hidden="false" customHeight="false" outlineLevel="0" collapsed="false">
      <c r="A70" s="6" t="s">
        <v>402</v>
      </c>
      <c r="B70" s="7" t="s">
        <v>68</v>
      </c>
      <c r="C70" s="7" t="s">
        <v>69</v>
      </c>
      <c r="D70" s="6" t="s">
        <v>403</v>
      </c>
    </row>
    <row r="71" customFormat="false" ht="15" hidden="false" customHeight="false" outlineLevel="0" collapsed="false">
      <c r="A71" s="6" t="s">
        <v>404</v>
      </c>
      <c r="B71" s="7" t="s">
        <v>69</v>
      </c>
      <c r="C71" s="7" t="s">
        <v>70</v>
      </c>
      <c r="D71" s="6" t="s">
        <v>405</v>
      </c>
    </row>
    <row r="72" customFormat="false" ht="15" hidden="false" customHeight="false" outlineLevel="0" collapsed="false">
      <c r="A72" s="6" t="s">
        <v>406</v>
      </c>
      <c r="B72" s="7" t="s">
        <v>18</v>
      </c>
      <c r="C72" s="7" t="s">
        <v>407</v>
      </c>
      <c r="D72" s="6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2026-02-14T09:13:33Z</dcterms:created>
  <dc:creator>openpyxl</dc:creator>
  <dc:description/>
  <dc:language>en-US</dc:language>
  <cp:lastModifiedBy/>
  <dcterms:modified xsi:type="dcterms:W3CDTF">2026-02-14T09:13:33Z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